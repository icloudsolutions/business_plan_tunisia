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PivotChartFilter="1" defaultThemeVersion="124226"/>
  <bookViews>
    <workbookView xWindow="240" yWindow="645" windowWidth="19575" windowHeight="7365" tabRatio="984" firstSheet="12" activeTab="19"/>
  </bookViews>
  <sheets>
    <sheet name="Données" sheetId="9" r:id="rId1"/>
    <sheet name="Hypothèse" sheetId="1" r:id="rId2"/>
    <sheet name="Schémas fin" sheetId="25" r:id="rId3"/>
    <sheet name="Investissements" sheetId="11" r:id="rId4"/>
    <sheet name="Prix achat-ventes" sheetId="35" r:id="rId5"/>
    <sheet name="Chiffre d'affaire" sheetId="3" r:id="rId6"/>
    <sheet name="Calcul Coût Ption" sheetId="4" r:id="rId7"/>
    <sheet name="Cout de production prévisionnel" sheetId="27" r:id="rId8"/>
    <sheet name="Taux de marge" sheetId="6" r:id="rId9"/>
    <sheet name="Consommations Q" sheetId="34" r:id="rId10"/>
    <sheet name="Ach prévisionnel" sheetId="28" r:id="rId11"/>
    <sheet name="Achat Matière" sheetId="5" r:id="rId12"/>
    <sheet name="TVA" sheetId="22" r:id="rId13"/>
    <sheet name="Achat carton" sheetId="12" r:id="rId14"/>
    <sheet name="Autres charges" sheetId="19" r:id="rId15"/>
    <sheet name="SALAIRE" sheetId="10" r:id="rId16"/>
    <sheet name="P&amp;L" sheetId="14" r:id="rId17"/>
    <sheet name="ACTIFS" sheetId="20" r:id="rId18"/>
    <sheet name="PASSIFS" sheetId="21" r:id="rId19"/>
    <sheet name="BG" sheetId="23" r:id="rId20"/>
    <sheet name="Emprunt" sheetId="18" r:id="rId21"/>
    <sheet name="Trésor prévisionnelle" sheetId="31" r:id="rId22"/>
    <sheet name="VAN" sheetId="15" r:id="rId23"/>
    <sheet name="frais financier" sheetId="16" r:id="rId24"/>
    <sheet name="INDICE DE RENTABILITE" sheetId="17" r:id="rId25"/>
    <sheet name="Analyse rentabilité" sheetId="36" r:id="rId26"/>
    <sheet name="CALCUL VANT TRI" sheetId="37" r:id="rId27"/>
    <sheet name="Shémas de réalisation" sheetId="38" r:id="rId28"/>
    <sheet name="Feuil1" sheetId="3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aff306">'[1]BALANCE BFI INTERNAIONAL AU 30 '!$G$1:$G$65536</definedName>
    <definedName name="_DTF1">[2]Paramètres!$B$6</definedName>
    <definedName name="_xlnm._FilterDatabase" localSheetId="19" hidden="1">BG!$A$2:$I$67</definedName>
    <definedName name="_xlnm._FilterDatabase" localSheetId="7" hidden="1">'Cout de production prévisionnel'!$A$1:$U$69</definedName>
    <definedName name="_sol306">'[1]BALANCE BFI INTERNAIONAL AU 30 '!$F$1:$F$65536</definedName>
    <definedName name="acc">[3]N_ACCTUN!$A$12:$C$629</definedName>
    <definedName name="ACLARACIONES_AYUDA">#REF!</definedName>
    <definedName name="AFEC">'[4]BALANCE AU 30.06.01'!$F$1:$F$65536</definedName>
    <definedName name="AFF">'[4]BALANCE AU 30.06.01'!$F$1:$F$65536</definedName>
    <definedName name="Affect">'[5]Balance comparative (2)'!$J$1:$J$65536</definedName>
    <definedName name="affect1">#REF!</definedName>
    <definedName name="affectation">[6]Bilan!$D$3:$D$239</definedName>
    <definedName name="AFFRT">[7]sum_ert!$A$1:$A$65536</definedName>
    <definedName name="am">[8]!am</definedName>
    <definedName name="AYUDA_PLAZO_ENTREGA">#REF!</definedName>
    <definedName name="az">[8]!az</definedName>
    <definedName name="Bal_CodeGroupeAnalyse">#REF!</definedName>
    <definedName name="Bal_CompteDebut">#REF!</definedName>
    <definedName name="Bal_CompteFin">#REF!</definedName>
    <definedName name="Bal_DateDebut">#REF!</definedName>
    <definedName name="Bal_DateFin">#REF!</definedName>
    <definedName name="Bal_NomGroupeAnalyse">#REF!</definedName>
    <definedName name="Bal_TypeEcriture">#REF!</definedName>
    <definedName name="BALANCE000999">#REF!</definedName>
    <definedName name="Balx_CodeGroupeAnalyse">[9]BALANCEAUX!$B$2</definedName>
    <definedName name="Balx_Compte">[9]BALANCEAUX!$D$2</definedName>
    <definedName name="Balx_DateDebut">[9]BALANCEAUX!$A$5</definedName>
    <definedName name="Balx_DateFin">[9]BALANCEAUX!$B$5</definedName>
    <definedName name="Balx_LibelleCompte">[9]BALANCEAUX!$D$3</definedName>
    <definedName name="Balx_NbLignes">[9]BALANCEAUX!#REF!</definedName>
    <definedName name="Balx_NomGroupeAnalyse">[9]BALANCEAUX!$B$3</definedName>
    <definedName name="Balx_TypeEcriture">[9]BALANCEAUX!$A$3</definedName>
    <definedName name="_xlnm.Database">#REF!</definedName>
    <definedName name="Beginning_Balance" localSheetId="3">#N/A</definedName>
    <definedName name="Beginning_Balance" localSheetId="16">#N/A</definedName>
    <definedName name="Beginning_Balance" localSheetId="15">#N/A</definedName>
    <definedName name="Beginning_Balance" localSheetId="22">#N/A</definedName>
    <definedName name="Beginning_Balance">#N/A</definedName>
    <definedName name="BIL_1">[10]BILAN!$P$3:$P$28,[10]BILAN!$G$3:$G$60</definedName>
    <definedName name="BIL_2">[10]BILAN!$Q$3:$Q$28,[10]BILAN!$H$3:$H$60</definedName>
    <definedName name="bilan">[8]!bilan</definedName>
    <definedName name="C_CLAVE_AYUDA">#REF!</definedName>
    <definedName name="Caseàcocher10_QuandClic">[8]!Caseàcocher10_QuandClic</definedName>
    <definedName name="Caseàcocher42_QuandClic">[8]!Caseàcocher42_QuandClic</definedName>
    <definedName name="CATE">[11]codes!$J$11:$J$14</definedName>
    <definedName name="CATE_NR.">[11]codes!$J$6</definedName>
    <definedName name="CDGR">[2]Paramètres!$A$1</definedName>
    <definedName name="CFA">#REF!</definedName>
    <definedName name="Charges">[8]!Charges</definedName>
    <definedName name="Choix_Imprimantes">[8]!Choix_Imprimantes</definedName>
    <definedName name="CODE_SEG">[12]Base.!$C$1:$C$65536</definedName>
    <definedName name="COM_BEB_AYUDA">#REF!</definedName>
    <definedName name="commentaires">[8]!commentaires</definedName>
    <definedName name="COMPARATIVO_AYUDA">#REF!</definedName>
    <definedName name="Contactos_AYUDA">#REF!</definedName>
    <definedName name="CURR">[11]codes!$F$5:$F$88</definedName>
    <definedName name="d">[8]!d</definedName>
    <definedName name="DATE">[13]Tréso!$B$5</definedName>
    <definedName name="Date_Paie">#REF!</definedName>
    <definedName name="Date_Paiement">DATE(YEAR(Début_Prêt),MONTH(Début_Prêt)+[0]!Payment_Number,DAY(Début_Prêt))</definedName>
    <definedName name="DATOS_AYUDA">#REF!</definedName>
    <definedName name="DC_AVW">#REF!</definedName>
    <definedName name="Début_Prêt">#REF!</definedName>
    <definedName name="Dernière_Ligne">IF(Valeurs_Entrées,Ligne_EnTête+Nbre_de_Paiements,Ligne_EnTête)</definedName>
    <definedName name="Désactiver">[8]!Désactiver</definedName>
    <definedName name="Données">#REF!</definedName>
    <definedName name="Durée_Prêt">#REF!</definedName>
    <definedName name="Ecr_CodeGroupeAnalyse">[14]Ecritures!$A$3</definedName>
    <definedName name="Ecr_Compte">[14]Ecritures!$A$2</definedName>
    <definedName name="Ecr_DateDebut">[14]Ecritures!$B$5</definedName>
    <definedName name="Ecr_DateFin">[14]Ecritures!$C$5</definedName>
    <definedName name="Ecr_LibelleCompte">[14]Ecritures!$B$2</definedName>
    <definedName name="Ecr_NbLignes">[14]Ecritures!$E$3</definedName>
    <definedName name="Ecr_NomGroupeAnalyse">[14]Ecritures!$B$3</definedName>
    <definedName name="Ecr_TypeEcriture">[14]Ecritures!$A$5</definedName>
    <definedName name="EcrD_CodeDepartement">'[15]Ecritures DET'!$G$2</definedName>
    <definedName name="EcrD_NomGroupeAnalyse">'[15]Ecritures DET'!$I$2</definedName>
    <definedName name="EcrD_NumEcriture">'[15]Ecritures DET'!$G$3</definedName>
    <definedName name="Ecrx_CodeDepartement">[16]EcrituresAux!$A$3</definedName>
    <definedName name="Ecrx_CompteAux">[16]EcrituresAux!$A$2</definedName>
    <definedName name="Ecrx_DateDebut">[16]EcrituresAux!$B$5</definedName>
    <definedName name="Ecrx_DateFin">[16]EcrituresAux!$C$5</definedName>
    <definedName name="Ecrx_LibelleCompteAux">[16]EcrituresAux!$B$2</definedName>
    <definedName name="Ecrx_NbLignes">[16]EcrituresAux!$E$3</definedName>
    <definedName name="Ecrx_NomGroupeAnalyse">[16]EcrituresAux!$B$3</definedName>
    <definedName name="Ecrx_TypeEcriture">[16]EcrituresAux!$A$5</definedName>
    <definedName name="edition">[8]!edition</definedName>
    <definedName name="Ending_Balance" localSheetId="3">#N/A</definedName>
    <definedName name="Ending_Balance" localSheetId="16">#N/A</definedName>
    <definedName name="Ending_Balance" localSheetId="15">#N/A</definedName>
    <definedName name="Ending_Balance" localSheetId="22">#N/A</definedName>
    <definedName name="Ending_Balance">#N/A</definedName>
    <definedName name="Ent">#REF!</definedName>
    <definedName name="ER" localSheetId="3">#N/A</definedName>
    <definedName name="ER" localSheetId="16">#N/A</definedName>
    <definedName name="ER" localSheetId="15">#N/A</definedName>
    <definedName name="ER" localSheetId="22">#N/A</definedName>
    <definedName name="ER">#N/A</definedName>
    <definedName name="ESTRATEGICO_AYUDA">#REF!</definedName>
    <definedName name="ETXAcces">"ETAT.ACC"</definedName>
    <definedName name="Evolution">[8]!Evolution</definedName>
    <definedName name="faktor">'[17]Businessplan-Formular'!$C$76</definedName>
    <definedName name="FEES">#REF!</definedName>
    <definedName name="Financement">[8]!Financement</definedName>
    <definedName name="fluxsa">'[18]Affectation Etat de flux'!$F$1:$F$65536</definedName>
    <definedName name="Garde">[8]!Garde</definedName>
    <definedName name="GENERALES_AYUDA">#REF!</definedName>
    <definedName name="HABITACIONES_AYUDA">#REF!</definedName>
    <definedName name="HOJA__COMPARATIVO">#REF!</definedName>
    <definedName name="ICTABLE">[11]codes!$B$5:$G$88</definedName>
    <definedName name="ImpGestion">[8]!ImpGestion</definedName>
    <definedName name="Impression_Caseàcocher43_QuandClic">[8]!Impression_Caseàcocher43_QuandClic</definedName>
    <definedName name="Impression_Entière">#REF!</definedName>
    <definedName name="Interest" localSheetId="3">#N/A</definedName>
    <definedName name="Interest" localSheetId="16">#N/A</definedName>
    <definedName name="Interest" localSheetId="15">#N/A</definedName>
    <definedName name="Interest" localSheetId="22">#N/A</definedName>
    <definedName name="Interest">#N/A</definedName>
    <definedName name="Interest_Rate">#REF!</definedName>
    <definedName name="Intérêt_Total">#REF!</definedName>
    <definedName name="Intérêts_Cumulés">#REF!</definedName>
    <definedName name="INTRODUCCION_AYUDA">#REF!</definedName>
    <definedName name="JUSTIFICACIÓN_AYUDA">#REF!</definedName>
    <definedName name="Last_Row" localSheetId="3">#N/A</definedName>
    <definedName name="Last_Row" localSheetId="16">#N/A</definedName>
    <definedName name="Last_Row" localSheetId="15">#N/A</definedName>
    <definedName name="Last_Row" localSheetId="22">#N/A</definedName>
    <definedName name="Last_Row">#N/A</definedName>
    <definedName name="Ligne_EnTête">ROW(#REF!)</definedName>
    <definedName name="Loan_Amount">#REF!</definedName>
    <definedName name="Loan_Not_Paid" localSheetId="3">#N/A</definedName>
    <definedName name="Loan_Not_Paid" localSheetId="16">#N/A</definedName>
    <definedName name="Loan_Not_Paid" localSheetId="15">#N/A</definedName>
    <definedName name="Loan_Not_Paid" localSheetId="22">#N/A</definedName>
    <definedName name="Loan_Not_Paid">#N/A</definedName>
    <definedName name="macro.">[8]!macro.</definedName>
    <definedName name="Macros.bilan">[8]!Macros.bilan</definedName>
    <definedName name="Macros.Charges">[8]!Macros.Charges</definedName>
    <definedName name="Macros.Commentaires">[8]!Macros.Commentaires</definedName>
    <definedName name="Macros.Désactiver">[8]!Macros.Désactiver</definedName>
    <definedName name="Macros.Detail">[8]!Macros.Detail</definedName>
    <definedName name="Macros.Evolution">[8]!Macros.Evolution</definedName>
    <definedName name="Macros.Financement">[8]!Macros.Financement</definedName>
    <definedName name="Macros.Garde">[8]!Macros.Garde</definedName>
    <definedName name="Macros.ratio1">[8]!Macros.ratio1</definedName>
    <definedName name="Macros.ratio2">[8]!Macros.ratio2</definedName>
    <definedName name="Macros.resultat">[8]!Macros.resultat</definedName>
    <definedName name="Macros.Retour_Menu">[8]!Macros.Retour_Menu</definedName>
    <definedName name="Macros.Saisie">[8]!Macros.Saisie</definedName>
    <definedName name="Montant_Prêt">#REF!</definedName>
    <definedName name="month">[19]budget!$H$3:$S$3</definedName>
    <definedName name="month_actual">#REF!</definedName>
    <definedName name="Monthly_Payment" localSheetId="3">#N/A</definedName>
    <definedName name="Monthly_Payment" localSheetId="16">#N/A</definedName>
    <definedName name="Monthly_Payment" localSheetId="15">#N/A</definedName>
    <definedName name="Monthly_Payment" localSheetId="22">#N/A</definedName>
    <definedName name="Monthly_Payment">#N/A</definedName>
    <definedName name="Mounir">[8]!Mounir</definedName>
    <definedName name="mtsa">'[18]Affectation Etat de flux'!$E$1:$E$65536</definedName>
    <definedName name="names">[11]codes!$C$5:$C$88</definedName>
    <definedName name="Nbre_de_Paiements">MATCH(0.01,Solde_Final,-1)+1</definedName>
    <definedName name="Nbre_Pmt">#REF!</definedName>
    <definedName name="Nbre_Pmt_Par_An">#REF!</definedName>
    <definedName name="NOPAGE">1</definedName>
    <definedName name="note">#REF!</definedName>
    <definedName name="Number_of_Payments">#REF!</definedName>
    <definedName name="NUMERO">[13]TAB7!$A$1:$A$65536</definedName>
    <definedName name="o">#REF!</definedName>
    <definedName name="OTROS_AYUDA">#REF!</definedName>
    <definedName name="P_A_S_S_I_F">#REF!</definedName>
    <definedName name="Payment_Date" localSheetId="3">#N/A</definedName>
    <definedName name="Payment_Date" localSheetId="16">#N/A</definedName>
    <definedName name="Payment_Date" localSheetId="15">#N/A</definedName>
    <definedName name="Payment_Date" localSheetId="22">#N/A</definedName>
    <definedName name="Payment_Date">#N/A</definedName>
    <definedName name="Payment_Number" localSheetId="3">ROW()-Header_Row</definedName>
    <definedName name="Payment_Number" localSheetId="16">ROW()-Header_Row</definedName>
    <definedName name="Payment_Number" localSheetId="15">ROW()-Header_Row</definedName>
    <definedName name="Payment_Number" localSheetId="22">ROW()-Header_Row</definedName>
    <definedName name="Payment_Number">ROW()-Header_Row</definedName>
    <definedName name="pdt">[13]TAB2LU!$F$8:$G$8</definedName>
    <definedName name="PERSONAL_AYUDA">#REF!</definedName>
    <definedName name="plan">[13]PlanComptable!$C$1:$C$1317</definedName>
    <definedName name="Pmt_Mensuel_Programmé">#REF!</definedName>
    <definedName name="Pmt_Programmé">#REF!</definedName>
    <definedName name="Pmt_Supplémentaire">#REF!</definedName>
    <definedName name="Pmt_Total">#REF!</definedName>
    <definedName name="Pmts_Supplémentaires_Programmés">#REF!</definedName>
    <definedName name="Princ">#REF!</definedName>
    <definedName name="Principal" localSheetId="3">-PPMT(Interest_Rate/12,Investissements!Payment_Number,Number_of_Payments,Loan_Amount)</definedName>
    <definedName name="Principal" localSheetId="16">-PPMT(Interest_Rate/12,'P&amp;L'!Payment_Number,Number_of_Payments,Loan_Amount)</definedName>
    <definedName name="Principal" localSheetId="15">-PPMT(Interest_Rate/12,SALAIRE!Payment_Number,Number_of_Payments,Loan_Amount)</definedName>
    <definedName name="Principal" localSheetId="22">-PPMT(Interest_Rate/12,VAN!Payment_Number,Number_of_Payments,Loan_Amount)</definedName>
    <definedName name="Principal">-PPMT(Interest_Rate/12,Payment_Number,Number_of_Payments,Loan_Amount)</definedName>
    <definedName name="rate">'[3]ex rate'!$B$2:$C$14</definedName>
    <definedName name="ratio1">[8]!ratio1</definedName>
    <definedName name="ratio2">[8]!ratio2</definedName>
    <definedName name="Réinit_Zone_Impression">OFFSET(Impression_Entière,0,0,Dernière_Ligne)</definedName>
    <definedName name="REPOSICION_AYUDA">#REF!</definedName>
    <definedName name="resultat">[8]!resultat</definedName>
    <definedName name="RESUMEN_I_AYUDA">#REF!</definedName>
    <definedName name="RESUMEN_II_AYUDA">#REF!</definedName>
    <definedName name="Retour_Menu">[8]!Retour_Menu</definedName>
    <definedName name="RT00">[7]sum_ert!$C$1:$C$65536</definedName>
    <definedName name="RUB">'[19]BALANCE AU 30.06.01'!$F$1:$F$65536</definedName>
    <definedName name="Saisie">[8]!Saisie</definedName>
    <definedName name="Sauvegarde">[8]!Sauvegarde</definedName>
    <definedName name="scal">[11]Cover!$C$21</definedName>
    <definedName name="SEGMENTO_AYUDA">#REF!</definedName>
    <definedName name="select">[8]!select</definedName>
    <definedName name="SOL">'[4]BALANCE AU 30.06.01'!$E$1:$E$65536</definedName>
    <definedName name="solde">[6]Bilan!$C$3:$C$239</definedName>
    <definedName name="Solde_Départ">#REF!</definedName>
    <definedName name="Solde_Final">#REF!</definedName>
    <definedName name="Solde00">'[5]Balance comparative (2)'!$F$1:$F$65536</definedName>
    <definedName name="Solde01">'[5]Balance comparative (2)'!$G$1:$G$65536</definedName>
    <definedName name="soll">'[20]BALANCE AU 30.06.01'!$E$1:$E$65536</definedName>
    <definedName name="SUGERENCIAS_AYUDA">#REF!</definedName>
    <definedName name="tau">[21]Parameter!$C$5</definedName>
    <definedName name="Taux_Intérêt">#REF!</definedName>
    <definedName name="Taux_Intérêt_Programmé">#REF!</definedName>
    <definedName name="Teiler">#REF!</definedName>
    <definedName name="Total_Cost">#REF!</definedName>
    <definedName name="treza">[8]!treza</definedName>
    <definedName name="UNIT_NUMBER">[11]codes!$J$5</definedName>
    <definedName name="Valeurs_Entrées">IF(Montant_Prêt*Taux_Intérêt*Durée_Prêt*Début_Prêt&gt;0,1,0)</definedName>
    <definedName name="Values_Entered" localSheetId="3">IF(Loan_Amount*Interest_Rate*Loan_Years*Loan_Start&gt;0,1,0)</definedName>
    <definedName name="Values_Entered" localSheetId="16">IF(Loan_Amount*Interest_Rate*Loan_Years*Loan_Start&gt;0,1,0)</definedName>
    <definedName name="Values_Entered" localSheetId="15">IF(Loan_Amount*Interest_Rate*Loan_Years*Loan_Start&gt;0,1,0)</definedName>
    <definedName name="Values_Entered" localSheetId="22">IF(Loan_Amount*Interest_Rate*Loan_Years*Loan_Start&gt;0,1,0)</definedName>
    <definedName name="Values_Entered">IF(Loan_Amount*Interest_Rate*Loan_Years*Loan_Start&gt;0,1,0)</definedName>
    <definedName name="Visualiser">[8]!Visualiser</definedName>
    <definedName name="wrn.Etafi." localSheetId="3" hidden="1">{#N/A,#N/A,FALSE,"SIG";#N/A,#N/A,FALSE,"Graphe_SIG";#N/A,#N/A,FALSE,"CAF";#N/A,#N/A,FALSE,"VA";#N/A,#N/A,FALSE,"Autofinancement";#N/A,#N/A,FALSE,"BILAN";#N/A,#N/A,FALSE,"FR";#N/A,#N/A,FALSE,"Exploitation";#N/A,#N/A,FALSE,"Rentabilité";#N/A,#N/A,FALSE,"Profit";#N/A,#N/A,FALSE,"Financier";#N/A,#N/A,FALSE,"Trésorerie"}</definedName>
    <definedName name="wrn.Etafi." localSheetId="16" hidden="1">{#N/A,#N/A,FALSE,"SIG";#N/A,#N/A,FALSE,"Graphe_SIG";#N/A,#N/A,FALSE,"CAF";#N/A,#N/A,FALSE,"VA";#N/A,#N/A,FALSE,"Autofinancement";#N/A,#N/A,FALSE,"BILAN";#N/A,#N/A,FALSE,"FR";#N/A,#N/A,FALSE,"Exploitation";#N/A,#N/A,FALSE,"Rentabilité";#N/A,#N/A,FALSE,"Profit";#N/A,#N/A,FALSE,"Financier";#N/A,#N/A,FALSE,"Trésorerie"}</definedName>
    <definedName name="wrn.Etafi." localSheetId="15" hidden="1">{#N/A,#N/A,FALSE,"SIG";#N/A,#N/A,FALSE,"Graphe_SIG";#N/A,#N/A,FALSE,"CAF";#N/A,#N/A,FALSE,"VA";#N/A,#N/A,FALSE,"Autofinancement";#N/A,#N/A,FALSE,"BILAN";#N/A,#N/A,FALSE,"FR";#N/A,#N/A,FALSE,"Exploitation";#N/A,#N/A,FALSE,"Rentabilité";#N/A,#N/A,FALSE,"Profit";#N/A,#N/A,FALSE,"Financier";#N/A,#N/A,FALSE,"Trésorerie"}</definedName>
    <definedName name="wrn.Etafi." localSheetId="22" hidden="1">{#N/A,#N/A,FALSE,"SIG";#N/A,#N/A,FALSE,"Graphe_SIG";#N/A,#N/A,FALSE,"CAF";#N/A,#N/A,FALSE,"VA";#N/A,#N/A,FALSE,"Autofinancement";#N/A,#N/A,FALSE,"BILAN";#N/A,#N/A,FALSE,"FR";#N/A,#N/A,FALSE,"Exploitation";#N/A,#N/A,FALSE,"Rentabilité";#N/A,#N/A,FALSE,"Profit";#N/A,#N/A,FALSE,"Financier";#N/A,#N/A,FALSE,"Trésorerie"}</definedName>
    <definedName name="wrn.Etafi." hidden="1">{#N/A,#N/A,FALSE,"SIG";#N/A,#N/A,FALSE,"Graphe_SIG";#N/A,#N/A,FALSE,"CAF";#N/A,#N/A,FALSE,"VA";#N/A,#N/A,FALSE,"Autofinancement";#N/A,#N/A,FALSE,"BILAN";#N/A,#N/A,FALSE,"FR";#N/A,#N/A,FALSE,"Exploitation";#N/A,#N/A,FALSE,"Rentabilité";#N/A,#N/A,FALSE,"Profit";#N/A,#N/A,FALSE,"Financier";#N/A,#N/A,FALSE,"Trésorerie"}</definedName>
    <definedName name="_xlnm.Print_Area" localSheetId="17">ACTIFS!$A$1:$E$49</definedName>
    <definedName name="_xlnm.Print_Area" localSheetId="16">'P&amp;L'!$A$1:$H$37</definedName>
    <definedName name="_xlnm.Print_Area">#REF!</definedName>
  </definedNames>
  <calcPr calcId="124519"/>
  <pivotCaches>
    <pivotCache cacheId="0" r:id="rId52"/>
  </pivotCaches>
</workbook>
</file>

<file path=xl/calcChain.xml><?xml version="1.0" encoding="utf-8"?>
<calcChain xmlns="http://schemas.openxmlformats.org/spreadsheetml/2006/main">
  <c r="C24" i="23"/>
  <c r="N35" i="14" l="1"/>
  <c r="C64" i="3"/>
  <c r="D64"/>
  <c r="E64"/>
  <c r="F64"/>
  <c r="G64"/>
  <c r="H64"/>
  <c r="B64"/>
  <c r="C63"/>
  <c r="D63"/>
  <c r="E63"/>
  <c r="F63"/>
  <c r="G63"/>
  <c r="H63"/>
  <c r="B63"/>
  <c r="H98" i="28"/>
  <c r="G98"/>
  <c r="F98"/>
  <c r="E98"/>
  <c r="D98"/>
  <c r="C98"/>
  <c r="B98"/>
  <c r="H85"/>
  <c r="H86"/>
  <c r="H87"/>
  <c r="H88"/>
  <c r="H89"/>
  <c r="H90"/>
  <c r="H84"/>
  <c r="G85"/>
  <c r="G86"/>
  <c r="G87"/>
  <c r="G88"/>
  <c r="G89"/>
  <c r="G90"/>
  <c r="G84"/>
  <c r="F85"/>
  <c r="F86"/>
  <c r="F87"/>
  <c r="F88"/>
  <c r="F89"/>
  <c r="F90"/>
  <c r="F84"/>
  <c r="E85"/>
  <c r="E86"/>
  <c r="E87"/>
  <c r="E88"/>
  <c r="E89"/>
  <c r="E90"/>
  <c r="E84"/>
  <c r="D85"/>
  <c r="D86"/>
  <c r="D87"/>
  <c r="D88"/>
  <c r="D89"/>
  <c r="D90"/>
  <c r="D84"/>
  <c r="C85"/>
  <c r="C86"/>
  <c r="C87"/>
  <c r="C88"/>
  <c r="C89"/>
  <c r="C90"/>
  <c r="C84"/>
  <c r="B85"/>
  <c r="B86"/>
  <c r="B87"/>
  <c r="B88"/>
  <c r="B89"/>
  <c r="B90"/>
  <c r="B84"/>
  <c r="C61" i="3"/>
  <c r="D61"/>
  <c r="E61"/>
  <c r="F61"/>
  <c r="G61"/>
  <c r="H61"/>
  <c r="B61"/>
  <c r="B71" i="19" l="1"/>
  <c r="B20" i="39"/>
  <c r="D53" i="11"/>
  <c r="D54"/>
  <c r="B10"/>
  <c r="I25" i="16"/>
  <c r="C25"/>
  <c r="D25"/>
  <c r="E25"/>
  <c r="F25"/>
  <c r="G25"/>
  <c r="H25"/>
  <c r="B25"/>
  <c r="C57" i="3"/>
  <c r="D57"/>
  <c r="E57"/>
  <c r="F57"/>
  <c r="G57"/>
  <c r="H57"/>
  <c r="I57"/>
  <c r="J57"/>
  <c r="K57"/>
  <c r="L57"/>
  <c r="M57"/>
  <c r="N57"/>
  <c r="O57"/>
  <c r="B57"/>
  <c r="C5" i="35"/>
  <c r="D10" i="1"/>
  <c r="C45" i="18"/>
  <c r="E41"/>
  <c r="F41" s="1"/>
  <c r="G41" s="1"/>
  <c r="H41" s="1"/>
  <c r="I41" s="1"/>
  <c r="D45"/>
  <c r="E45"/>
  <c r="F45"/>
  <c r="G45"/>
  <c r="H45"/>
  <c r="I45"/>
  <c r="J42"/>
  <c r="J43"/>
  <c r="J45" s="1"/>
  <c r="D65" i="11"/>
  <c r="B35" i="9"/>
  <c r="C22" i="15"/>
  <c r="D22" s="1"/>
  <c r="C19" i="4"/>
  <c r="E82" i="6"/>
  <c r="E81"/>
  <c r="E80"/>
  <c r="E79"/>
  <c r="E78"/>
  <c r="E77"/>
  <c r="E76"/>
  <c r="D14" i="37"/>
  <c r="E14" s="1"/>
  <c r="F14" s="1"/>
  <c r="G14" s="1"/>
  <c r="H14" s="1"/>
  <c r="C14"/>
  <c r="H28" i="15"/>
  <c r="G28"/>
  <c r="AG36" i="28" l="1"/>
  <c r="AG35"/>
  <c r="AG34"/>
  <c r="AG33"/>
  <c r="AG32"/>
  <c r="AG31"/>
  <c r="AG30"/>
  <c r="AB36"/>
  <c r="AB35"/>
  <c r="AB34"/>
  <c r="AB33"/>
  <c r="AB32"/>
  <c r="AB31"/>
  <c r="AB30"/>
  <c r="AG23"/>
  <c r="AG22"/>
  <c r="AG21"/>
  <c r="AG20"/>
  <c r="AG19"/>
  <c r="AG18"/>
  <c r="AG17"/>
  <c r="AB23"/>
  <c r="AB22"/>
  <c r="AB21"/>
  <c r="AB20"/>
  <c r="AB19"/>
  <c r="AB18"/>
  <c r="AB17"/>
  <c r="O37" i="10"/>
  <c r="N36"/>
  <c r="N37"/>
  <c r="M37"/>
  <c r="L36"/>
  <c r="L37"/>
  <c r="X9"/>
  <c r="O36" s="1"/>
  <c r="X10"/>
  <c r="U9"/>
  <c r="M36" s="1"/>
  <c r="U10"/>
  <c r="L30" i="18"/>
  <c r="C4" i="16" s="1"/>
  <c r="L31" i="18"/>
  <c r="D4" i="16" s="1"/>
  <c r="L32" i="18"/>
  <c r="E4" i="16" s="1"/>
  <c r="L33" i="18"/>
  <c r="F4" i="16" s="1"/>
  <c r="L34" i="18"/>
  <c r="G4" i="16" s="1"/>
  <c r="L35" i="18"/>
  <c r="H4" i="16" s="1"/>
  <c r="L29" i="18"/>
  <c r="B4" i="16" s="1"/>
  <c r="I4" s="1"/>
  <c r="K30" i="18"/>
  <c r="K31"/>
  <c r="K32"/>
  <c r="K33"/>
  <c r="K34"/>
  <c r="K35"/>
  <c r="K29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7"/>
  <c r="F41" i="31"/>
  <c r="E57" i="23"/>
  <c r="E56"/>
  <c r="G41" i="31" l="1"/>
  <c r="M33" i="18"/>
  <c r="M29"/>
  <c r="B17" i="16"/>
  <c r="I5"/>
  <c r="I42" i="14"/>
  <c r="M32" i="18"/>
  <c r="I41" i="31"/>
  <c r="M35" i="18"/>
  <c r="G42" i="14"/>
  <c r="M31" i="18"/>
  <c r="H13" i="31"/>
  <c r="M34" i="18"/>
  <c r="D41" i="31"/>
  <c r="M30" i="18"/>
  <c r="K36"/>
  <c r="L36"/>
  <c r="O28" i="14"/>
  <c r="E42"/>
  <c r="M42"/>
  <c r="H41" i="31"/>
  <c r="D13"/>
  <c r="I13"/>
  <c r="M28" i="14"/>
  <c r="K42"/>
  <c r="O42"/>
  <c r="G23" i="27"/>
  <c r="E41" i="31"/>
  <c r="J10" i="19"/>
  <c r="J8"/>
  <c r="B28"/>
  <c r="D9"/>
  <c r="C29" s="1"/>
  <c r="E12"/>
  <c r="F12" s="1"/>
  <c r="G12" s="1"/>
  <c r="H12" s="1"/>
  <c r="D12"/>
  <c r="C32" s="1"/>
  <c r="D10"/>
  <c r="C28" s="1"/>
  <c r="B32"/>
  <c r="B29"/>
  <c r="B25"/>
  <c r="F10" i="11"/>
  <c r="G10" s="1"/>
  <c r="B9"/>
  <c r="F9" s="1"/>
  <c r="B8"/>
  <c r="F8" s="1"/>
  <c r="B4"/>
  <c r="F4" s="1"/>
  <c r="D34" i="10"/>
  <c r="H36"/>
  <c r="I36"/>
  <c r="J36"/>
  <c r="H37"/>
  <c r="J37"/>
  <c r="C34"/>
  <c r="B38"/>
  <c r="B37"/>
  <c r="B36"/>
  <c r="B35"/>
  <c r="B34"/>
  <c r="B33"/>
  <c r="B32"/>
  <c r="B31"/>
  <c r="B39" s="1"/>
  <c r="N7"/>
  <c r="H34" s="1"/>
  <c r="K7"/>
  <c r="H7"/>
  <c r="Q7" s="1"/>
  <c r="R7" s="1"/>
  <c r="K34" s="1"/>
  <c r="F7"/>
  <c r="H11"/>
  <c r="D38" s="1"/>
  <c r="K11"/>
  <c r="T11" s="1"/>
  <c r="R9"/>
  <c r="K36" s="1"/>
  <c r="O9"/>
  <c r="L38" l="1"/>
  <c r="U11"/>
  <c r="M38" s="1"/>
  <c r="L7"/>
  <c r="G34" s="1"/>
  <c r="T7"/>
  <c r="E10" i="19"/>
  <c r="F10" s="1"/>
  <c r="G10" s="1"/>
  <c r="H10" s="1"/>
  <c r="O7" i="10"/>
  <c r="I34" s="1"/>
  <c r="W7"/>
  <c r="F38"/>
  <c r="J34"/>
  <c r="F34"/>
  <c r="I10" i="19"/>
  <c r="H28" s="1"/>
  <c r="G28"/>
  <c r="I12"/>
  <c r="H32" s="1"/>
  <c r="G32"/>
  <c r="G4" i="11"/>
  <c r="H4" s="1"/>
  <c r="H10"/>
  <c r="M10" s="1"/>
  <c r="N10" s="1"/>
  <c r="E9" i="19"/>
  <c r="F9" s="1"/>
  <c r="G9" s="1"/>
  <c r="F29" s="1"/>
  <c r="H23" i="27"/>
  <c r="H9" i="19"/>
  <c r="D32"/>
  <c r="D28"/>
  <c r="F28"/>
  <c r="E28"/>
  <c r="F32"/>
  <c r="E32"/>
  <c r="G9" i="11"/>
  <c r="H9" s="1"/>
  <c r="I9" s="1"/>
  <c r="J9" s="1"/>
  <c r="K9" s="1"/>
  <c r="G8"/>
  <c r="H8" s="1"/>
  <c r="I8" s="1"/>
  <c r="J8" s="1"/>
  <c r="K8" s="1"/>
  <c r="L8" s="1"/>
  <c r="M8" s="1"/>
  <c r="I7" i="10"/>
  <c r="E34" s="1"/>
  <c r="G39" i="11"/>
  <c r="G38"/>
  <c r="B8" i="31"/>
  <c r="B7"/>
  <c r="D36" i="11"/>
  <c r="D37"/>
  <c r="D38"/>
  <c r="D39"/>
  <c r="D35"/>
  <c r="J9" i="19"/>
  <c r="X7" i="10" l="1"/>
  <c r="O34" s="1"/>
  <c r="N34"/>
  <c r="E29" i="19"/>
  <c r="M4" i="11"/>
  <c r="N4" s="1"/>
  <c r="L34" i="10"/>
  <c r="U7"/>
  <c r="M34" s="1"/>
  <c r="D29" i="19"/>
  <c r="I9"/>
  <c r="H29" s="1"/>
  <c r="G29"/>
  <c r="L9" i="11"/>
  <c r="M9"/>
  <c r="N9" s="1"/>
  <c r="N8"/>
  <c r="B6" i="25"/>
  <c r="C4" s="1"/>
  <c r="C5" l="1"/>
  <c r="C3" i="5"/>
  <c r="C4"/>
  <c r="C5"/>
  <c r="C6"/>
  <c r="C7"/>
  <c r="C8"/>
  <c r="C9"/>
  <c r="F14"/>
  <c r="F15"/>
  <c r="F16"/>
  <c r="F17"/>
  <c r="F18"/>
  <c r="F19"/>
  <c r="F20"/>
  <c r="F26"/>
  <c r="F27"/>
  <c r="F28"/>
  <c r="F29"/>
  <c r="F30"/>
  <c r="F31"/>
  <c r="F32"/>
  <c r="H19" i="4"/>
  <c r="H18"/>
  <c r="H17"/>
  <c r="G19"/>
  <c r="G18"/>
  <c r="G17"/>
  <c r="F19"/>
  <c r="F18"/>
  <c r="F17"/>
  <c r="E19"/>
  <c r="E18"/>
  <c r="E17"/>
  <c r="D19"/>
  <c r="D18"/>
  <c r="D17"/>
  <c r="C18"/>
  <c r="C17"/>
  <c r="B19"/>
  <c r="B18"/>
  <c r="B17"/>
  <c r="F37" i="11"/>
  <c r="G37" s="1"/>
  <c r="F36"/>
  <c r="G36" s="1"/>
  <c r="F35"/>
  <c r="G35" s="1"/>
  <c r="B8" i="35"/>
  <c r="B7"/>
  <c r="B6"/>
  <c r="B5"/>
  <c r="C3"/>
  <c r="C4"/>
  <c r="C6"/>
  <c r="C7"/>
  <c r="C8"/>
  <c r="C2"/>
  <c r="B3"/>
  <c r="B4"/>
  <c r="B2"/>
  <c r="D61" i="11"/>
  <c r="C30" s="1"/>
  <c r="C23"/>
  <c r="C24"/>
  <c r="D45"/>
  <c r="C26" s="1"/>
  <c r="B7" s="1"/>
  <c r="C40"/>
  <c r="F13"/>
  <c r="H24" i="4"/>
  <c r="G24"/>
  <c r="F24"/>
  <c r="E24"/>
  <c r="D24"/>
  <c r="C24"/>
  <c r="B24"/>
  <c r="F7" i="11" l="1"/>
  <c r="B5"/>
  <c r="D40"/>
  <c r="G3" i="18"/>
  <c r="G13" i="31"/>
  <c r="F13"/>
  <c r="E13"/>
  <c r="K28" i="14"/>
  <c r="I28"/>
  <c r="G28"/>
  <c r="E28"/>
  <c r="C28"/>
  <c r="C9" i="23"/>
  <c r="B15" i="16"/>
  <c r="C5" i="23"/>
  <c r="D4" i="18"/>
  <c r="D5" s="1"/>
  <c r="B4"/>
  <c r="B5" s="1"/>
  <c r="H3"/>
  <c r="E3"/>
  <c r="C3"/>
  <c r="B60" i="28"/>
  <c r="C60" s="1"/>
  <c r="B59"/>
  <c r="B58"/>
  <c r="B57"/>
  <c r="B56"/>
  <c r="B55"/>
  <c r="B54"/>
  <c r="F5" i="11" l="1"/>
  <c r="D46" i="23" s="1"/>
  <c r="B11" i="11"/>
  <c r="C25"/>
  <c r="B6" s="1"/>
  <c r="F6" s="1"/>
  <c r="E39"/>
  <c r="E37"/>
  <c r="E38"/>
  <c r="E35"/>
  <c r="E36"/>
  <c r="G6"/>
  <c r="H6" s="1"/>
  <c r="I6" s="1"/>
  <c r="J6" s="1"/>
  <c r="K6" s="1"/>
  <c r="L6" s="1"/>
  <c r="M6"/>
  <c r="N6" s="1"/>
  <c r="G7"/>
  <c r="H7" s="1"/>
  <c r="I7" s="1"/>
  <c r="J7" s="1"/>
  <c r="D10" i="23"/>
  <c r="C14" i="5"/>
  <c r="C18"/>
  <c r="C15"/>
  <c r="C19"/>
  <c r="C26"/>
  <c r="C28"/>
  <c r="C30"/>
  <c r="C32"/>
  <c r="C16"/>
  <c r="C20"/>
  <c r="C17"/>
  <c r="C27"/>
  <c r="C29"/>
  <c r="C31"/>
  <c r="D6" i="18"/>
  <c r="G5"/>
  <c r="E5" s="1"/>
  <c r="H5"/>
  <c r="B6"/>
  <c r="C5"/>
  <c r="C4"/>
  <c r="H4"/>
  <c r="G4"/>
  <c r="H43" i="20"/>
  <c r="L41"/>
  <c r="J41"/>
  <c r="H41"/>
  <c r="L11"/>
  <c r="J11"/>
  <c r="H11"/>
  <c r="F41"/>
  <c r="F11"/>
  <c r="C29" i="11" l="1"/>
  <c r="E40"/>
  <c r="M7"/>
  <c r="N7" s="1"/>
  <c r="E4" i="18"/>
  <c r="G6"/>
  <c r="D7"/>
  <c r="G7" s="1"/>
  <c r="H6"/>
  <c r="B7"/>
  <c r="B8" s="1"/>
  <c r="C6"/>
  <c r="J43" i="20"/>
  <c r="O15" i="22"/>
  <c r="P15" s="1"/>
  <c r="O14"/>
  <c r="P14" s="1"/>
  <c r="O13"/>
  <c r="P13" s="1"/>
  <c r="P12" s="1"/>
  <c r="L15"/>
  <c r="M15" s="1"/>
  <c r="L14"/>
  <c r="M14" s="1"/>
  <c r="L13"/>
  <c r="M13" s="1"/>
  <c r="M12" s="1"/>
  <c r="I15"/>
  <c r="J15" s="1"/>
  <c r="I14"/>
  <c r="J14" s="1"/>
  <c r="I13"/>
  <c r="F15"/>
  <c r="G15" s="1"/>
  <c r="F14"/>
  <c r="F13"/>
  <c r="G13" s="1"/>
  <c r="C59" i="28"/>
  <c r="C58"/>
  <c r="C57"/>
  <c r="C56"/>
  <c r="C55"/>
  <c r="C54"/>
  <c r="W36"/>
  <c r="W35"/>
  <c r="W34"/>
  <c r="W33"/>
  <c r="W32"/>
  <c r="W31"/>
  <c r="W30"/>
  <c r="R36"/>
  <c r="R35"/>
  <c r="R34"/>
  <c r="R33"/>
  <c r="R32"/>
  <c r="R31"/>
  <c r="R30"/>
  <c r="M36"/>
  <c r="M35"/>
  <c r="M34"/>
  <c r="M33"/>
  <c r="M32"/>
  <c r="M31"/>
  <c r="M30"/>
  <c r="H36"/>
  <c r="H35"/>
  <c r="H34"/>
  <c r="H33"/>
  <c r="H32"/>
  <c r="H31"/>
  <c r="H30"/>
  <c r="C36"/>
  <c r="C35"/>
  <c r="C34"/>
  <c r="C33"/>
  <c r="C32"/>
  <c r="C31"/>
  <c r="C30"/>
  <c r="W23"/>
  <c r="W22"/>
  <c r="W21"/>
  <c r="W20"/>
  <c r="W19"/>
  <c r="W18"/>
  <c r="W17"/>
  <c r="R23"/>
  <c r="R22"/>
  <c r="R21"/>
  <c r="R20"/>
  <c r="R19"/>
  <c r="R18"/>
  <c r="R17"/>
  <c r="M23"/>
  <c r="M22"/>
  <c r="M21"/>
  <c r="M20"/>
  <c r="M19"/>
  <c r="M18"/>
  <c r="M17"/>
  <c r="H23"/>
  <c r="H22"/>
  <c r="H21"/>
  <c r="H20"/>
  <c r="H19"/>
  <c r="H18"/>
  <c r="H17"/>
  <c r="C23"/>
  <c r="C22"/>
  <c r="C21"/>
  <c r="C20"/>
  <c r="C19"/>
  <c r="C18"/>
  <c r="C17"/>
  <c r="C9"/>
  <c r="C8"/>
  <c r="C7"/>
  <c r="C6"/>
  <c r="C5"/>
  <c r="C4"/>
  <c r="C3"/>
  <c r="D8" i="19"/>
  <c r="F3" i="3"/>
  <c r="B43" i="19" l="1"/>
  <c r="B9" i="31"/>
  <c r="B18" s="1"/>
  <c r="B20" s="1"/>
  <c r="E4" i="19"/>
  <c r="D27" s="1"/>
  <c r="C4"/>
  <c r="I4"/>
  <c r="H27" s="1"/>
  <c r="G4"/>
  <c r="F27" s="1"/>
  <c r="D4"/>
  <c r="C27" s="1"/>
  <c r="H4"/>
  <c r="G27" s="1"/>
  <c r="F4"/>
  <c r="E27" s="1"/>
  <c r="R4" i="28"/>
  <c r="AB4"/>
  <c r="AG4"/>
  <c r="R6"/>
  <c r="AG6"/>
  <c r="AB6"/>
  <c r="R8"/>
  <c r="AG8"/>
  <c r="AB8"/>
  <c r="AB3"/>
  <c r="AG3"/>
  <c r="W5"/>
  <c r="AG5"/>
  <c r="AB5"/>
  <c r="W7"/>
  <c r="AB7"/>
  <c r="AG7"/>
  <c r="W9"/>
  <c r="AG9"/>
  <c r="AB9"/>
  <c r="E8" i="19"/>
  <c r="C25"/>
  <c r="O12" i="22"/>
  <c r="B2" i="4"/>
  <c r="H3" i="5" s="1"/>
  <c r="E6" i="18"/>
  <c r="G14" i="22"/>
  <c r="G12" s="1"/>
  <c r="F12"/>
  <c r="I12"/>
  <c r="J13"/>
  <c r="J12" s="1"/>
  <c r="L12"/>
  <c r="B4" i="34"/>
  <c r="W3" i="28"/>
  <c r="C10"/>
  <c r="C8" i="18"/>
  <c r="B9"/>
  <c r="H7"/>
  <c r="D8"/>
  <c r="E7"/>
  <c r="L43" i="20"/>
  <c r="H3" i="28"/>
  <c r="H5"/>
  <c r="H7"/>
  <c r="H9"/>
  <c r="R3"/>
  <c r="M4"/>
  <c r="W4"/>
  <c r="M6"/>
  <c r="M8"/>
  <c r="R5"/>
  <c r="R7"/>
  <c r="R9"/>
  <c r="W6"/>
  <c r="W8"/>
  <c r="H4"/>
  <c r="H6"/>
  <c r="H8"/>
  <c r="M3"/>
  <c r="M5"/>
  <c r="M7"/>
  <c r="M9"/>
  <c r="J4" i="19" l="1"/>
  <c r="B27"/>
  <c r="C43"/>
  <c r="B44"/>
  <c r="B3" i="27"/>
  <c r="D3" s="1"/>
  <c r="C4" i="34" s="1"/>
  <c r="D2" i="4"/>
  <c r="AB10" i="28"/>
  <c r="AG10"/>
  <c r="F8" i="19"/>
  <c r="G8" s="1"/>
  <c r="D25"/>
  <c r="B14" i="5"/>
  <c r="D14" s="1"/>
  <c r="B3"/>
  <c r="D3" s="1"/>
  <c r="E14"/>
  <c r="G14" s="1"/>
  <c r="E3"/>
  <c r="G4" i="34"/>
  <c r="H8" i="18"/>
  <c r="D9"/>
  <c r="G8"/>
  <c r="E8" s="1"/>
  <c r="C9"/>
  <c r="B10"/>
  <c r="W10" i="28"/>
  <c r="H10"/>
  <c r="R10"/>
  <c r="M10"/>
  <c r="B15" i="22"/>
  <c r="C15" s="1"/>
  <c r="C38" i="23" s="1"/>
  <c r="B14" i="22"/>
  <c r="C14" s="1"/>
  <c r="B13"/>
  <c r="C13" s="1"/>
  <c r="E4" i="23"/>
  <c r="D9" i="21" s="1"/>
  <c r="F9" s="1"/>
  <c r="E6" i="23"/>
  <c r="E8"/>
  <c r="E9"/>
  <c r="E10"/>
  <c r="E5"/>
  <c r="E3"/>
  <c r="D41" i="20"/>
  <c r="E26" i="5" l="1"/>
  <c r="G26" s="1"/>
  <c r="D43" i="19"/>
  <c r="C44"/>
  <c r="D4" i="34"/>
  <c r="E4" s="1"/>
  <c r="F3" i="27"/>
  <c r="H3" s="1"/>
  <c r="H4" i="34" s="1"/>
  <c r="B26" i="5"/>
  <c r="D26" s="1"/>
  <c r="E25" i="19"/>
  <c r="F3" i="5"/>
  <c r="L4" i="34"/>
  <c r="C10" i="18"/>
  <c r="B11"/>
  <c r="B12" s="1"/>
  <c r="H9"/>
  <c r="D10"/>
  <c r="G9"/>
  <c r="H9" i="21"/>
  <c r="E7" i="23"/>
  <c r="D15" i="22"/>
  <c r="C37" i="23"/>
  <c r="E37" s="1"/>
  <c r="C12" i="22"/>
  <c r="D14"/>
  <c r="D13"/>
  <c r="B12"/>
  <c r="C34" i="23" s="1"/>
  <c r="E34" s="1"/>
  <c r="E38"/>
  <c r="D28" i="21"/>
  <c r="F28" s="1"/>
  <c r="H28" s="1"/>
  <c r="J28" s="1"/>
  <c r="L28" s="1"/>
  <c r="D11" i="20"/>
  <c r="D17" i="21"/>
  <c r="D44" i="19" l="1"/>
  <c r="E43"/>
  <c r="I4" i="34"/>
  <c r="J3" i="27"/>
  <c r="L3" s="1"/>
  <c r="M4" i="34" s="1"/>
  <c r="N4" s="1"/>
  <c r="F25" i="19"/>
  <c r="H8"/>
  <c r="I3" i="5"/>
  <c r="E9" i="18"/>
  <c r="Q4" i="34"/>
  <c r="B3" i="28"/>
  <c r="F4" i="34"/>
  <c r="J4" s="1"/>
  <c r="E32"/>
  <c r="F54" i="28"/>
  <c r="E19" i="34"/>
  <c r="D11" i="18"/>
  <c r="G11" s="1"/>
  <c r="E11" s="1"/>
  <c r="H10"/>
  <c r="G10"/>
  <c r="E10" s="1"/>
  <c r="B13"/>
  <c r="C12"/>
  <c r="J9" i="21"/>
  <c r="D30"/>
  <c r="C35" i="23"/>
  <c r="D12" i="22"/>
  <c r="D39" i="23"/>
  <c r="E39" s="1"/>
  <c r="E44" i="19" l="1"/>
  <c r="F43"/>
  <c r="I8"/>
  <c r="G25"/>
  <c r="N3" i="27"/>
  <c r="P3" s="1"/>
  <c r="R4" i="34" s="1"/>
  <c r="V4"/>
  <c r="D12" i="28"/>
  <c r="D3"/>
  <c r="G30"/>
  <c r="E3"/>
  <c r="H32" i="34"/>
  <c r="H54" i="28"/>
  <c r="I54" s="1"/>
  <c r="H19" i="34"/>
  <c r="G54" i="28"/>
  <c r="G3"/>
  <c r="K4" i="34"/>
  <c r="O4" s="1"/>
  <c r="G17" i="28"/>
  <c r="H11" i="18"/>
  <c r="B14"/>
  <c r="C13"/>
  <c r="F30" i="21"/>
  <c r="L9"/>
  <c r="B56" i="9"/>
  <c r="B67" s="1"/>
  <c r="C17"/>
  <c r="C18" i="3"/>
  <c r="D18" s="1"/>
  <c r="C17"/>
  <c r="F44" i="19" l="1"/>
  <c r="G43"/>
  <c r="H25"/>
  <c r="S4" i="34"/>
  <c r="K19"/>
  <c r="R3" i="27"/>
  <c r="T3" s="1"/>
  <c r="W4" i="34"/>
  <c r="AA4"/>
  <c r="B5" i="22"/>
  <c r="C19" i="3"/>
  <c r="L3" i="28"/>
  <c r="P4" i="34"/>
  <c r="O3" i="28" s="1"/>
  <c r="I17"/>
  <c r="L17"/>
  <c r="I3"/>
  <c r="I30"/>
  <c r="J3"/>
  <c r="I12" s="1"/>
  <c r="K32" i="34"/>
  <c r="J54" i="28"/>
  <c r="F3"/>
  <c r="L30"/>
  <c r="D12" i="18"/>
  <c r="G12" s="1"/>
  <c r="B15"/>
  <c r="B16" s="1"/>
  <c r="C14"/>
  <c r="H30" i="21"/>
  <c r="B58" i="9"/>
  <c r="B68" s="1"/>
  <c r="B60"/>
  <c r="B70" s="1"/>
  <c r="B59"/>
  <c r="B69" s="1"/>
  <c r="D17" i="3"/>
  <c r="G44" i="19" l="1"/>
  <c r="H43"/>
  <c r="H44" s="1"/>
  <c r="V3" i="27"/>
  <c r="AF4" i="34"/>
  <c r="X4"/>
  <c r="N19"/>
  <c r="L54" i="28"/>
  <c r="M54" s="1"/>
  <c r="T4" i="34"/>
  <c r="Q3" i="28" s="1"/>
  <c r="S3" s="1"/>
  <c r="Q17"/>
  <c r="N17"/>
  <c r="N30"/>
  <c r="N32" i="34"/>
  <c r="E5" i="22"/>
  <c r="P3" i="28"/>
  <c r="K54"/>
  <c r="K3"/>
  <c r="Q30"/>
  <c r="N3"/>
  <c r="H12" i="18"/>
  <c r="D13" s="1"/>
  <c r="G13" s="1"/>
  <c r="E13" s="1"/>
  <c r="E12"/>
  <c r="B17"/>
  <c r="C16"/>
  <c r="J30" i="21"/>
  <c r="X3" i="27" l="1"/>
  <c r="Z3"/>
  <c r="U4" i="34"/>
  <c r="T3" i="28" s="1"/>
  <c r="U3" s="1"/>
  <c r="H13" i="18"/>
  <c r="D14" s="1"/>
  <c r="H14" s="1"/>
  <c r="V17" i="28"/>
  <c r="F5" i="22"/>
  <c r="G5" s="1"/>
  <c r="V30" i="28"/>
  <c r="S17"/>
  <c r="C27" i="6"/>
  <c r="H5" i="22"/>
  <c r="C16" i="6"/>
  <c r="K5" i="22"/>
  <c r="S30" i="28"/>
  <c r="Y4" i="34"/>
  <c r="V3" i="28" s="1"/>
  <c r="B18" i="18"/>
  <c r="C17"/>
  <c r="G14"/>
  <c r="E14" s="1"/>
  <c r="L30" i="21"/>
  <c r="AB3" i="27" l="1"/>
  <c r="AB4" i="34"/>
  <c r="X3" i="28"/>
  <c r="L5" i="22"/>
  <c r="I5"/>
  <c r="C38" i="6"/>
  <c r="X30" i="28"/>
  <c r="X17"/>
  <c r="Z4" i="34"/>
  <c r="D15" i="18"/>
  <c r="G15" s="1"/>
  <c r="E15" s="1"/>
  <c r="B19"/>
  <c r="B20" s="1"/>
  <c r="C18"/>
  <c r="F5" i="16"/>
  <c r="E5"/>
  <c r="D5"/>
  <c r="C5"/>
  <c r="B5"/>
  <c r="F28" i="15"/>
  <c r="E28"/>
  <c r="D28"/>
  <c r="C28"/>
  <c r="E22"/>
  <c r="F22" s="1"/>
  <c r="G22" s="1"/>
  <c r="E9" i="12"/>
  <c r="E8"/>
  <c r="E7"/>
  <c r="E6"/>
  <c r="E5"/>
  <c r="E4"/>
  <c r="E3"/>
  <c r="B3"/>
  <c r="C3" s="1"/>
  <c r="D3" s="1"/>
  <c r="C15" i="4"/>
  <c r="D15"/>
  <c r="E15"/>
  <c r="F15"/>
  <c r="G15"/>
  <c r="H15"/>
  <c r="B15"/>
  <c r="E12" i="10"/>
  <c r="D12"/>
  <c r="N11"/>
  <c r="L11"/>
  <c r="G38" s="1"/>
  <c r="F11"/>
  <c r="C38" s="1"/>
  <c r="O10"/>
  <c r="I37" s="1"/>
  <c r="K10"/>
  <c r="H10"/>
  <c r="D37" s="1"/>
  <c r="F10"/>
  <c r="C37" s="1"/>
  <c r="K9"/>
  <c r="H9"/>
  <c r="F9"/>
  <c r="C36" s="1"/>
  <c r="N8"/>
  <c r="K8"/>
  <c r="H8"/>
  <c r="D35" s="1"/>
  <c r="F8"/>
  <c r="C35" s="1"/>
  <c r="N6"/>
  <c r="K6"/>
  <c r="H6"/>
  <c r="D33" s="1"/>
  <c r="F6"/>
  <c r="C33" s="1"/>
  <c r="N5"/>
  <c r="K5"/>
  <c r="H5"/>
  <c r="D32" s="1"/>
  <c r="F5"/>
  <c r="C32" s="1"/>
  <c r="N4"/>
  <c r="K4"/>
  <c r="H4"/>
  <c r="D31" s="1"/>
  <c r="F4"/>
  <c r="C31" s="1"/>
  <c r="B51" i="9"/>
  <c r="C49"/>
  <c r="C48"/>
  <c r="C47"/>
  <c r="C46"/>
  <c r="C4"/>
  <c r="D4" s="1"/>
  <c r="E4" s="1"/>
  <c r="C3"/>
  <c r="D3" s="1"/>
  <c r="E3" s="1"/>
  <c r="E6" s="1"/>
  <c r="D16" i="4"/>
  <c r="B10" i="3"/>
  <c r="B25" s="1"/>
  <c r="F9"/>
  <c r="B8" i="4" s="1"/>
  <c r="F8" i="3"/>
  <c r="B7" i="4" s="1"/>
  <c r="F7" i="3"/>
  <c r="B6" i="4" s="1"/>
  <c r="C9" i="3"/>
  <c r="C8"/>
  <c r="C7"/>
  <c r="C25" l="1"/>
  <c r="B29"/>
  <c r="C29" s="1"/>
  <c r="B28"/>
  <c r="C28" s="1"/>
  <c r="B26"/>
  <c r="C26" s="1"/>
  <c r="B30"/>
  <c r="C30" s="1"/>
  <c r="B27"/>
  <c r="C27" s="1"/>
  <c r="B24"/>
  <c r="C24" s="1"/>
  <c r="O5" i="10"/>
  <c r="I32" s="1"/>
  <c r="W5"/>
  <c r="H32"/>
  <c r="C39"/>
  <c r="I9"/>
  <c r="E36" s="1"/>
  <c r="D36"/>
  <c r="D39" s="1"/>
  <c r="L10"/>
  <c r="G37" s="1"/>
  <c r="F37"/>
  <c r="O11"/>
  <c r="I38" s="1"/>
  <c r="W11"/>
  <c r="H38"/>
  <c r="L4"/>
  <c r="G31" s="1"/>
  <c r="T4"/>
  <c r="F31"/>
  <c r="F39" s="1"/>
  <c r="L5"/>
  <c r="G32" s="1"/>
  <c r="T5"/>
  <c r="F32"/>
  <c r="L6"/>
  <c r="G33" s="1"/>
  <c r="T6"/>
  <c r="F33"/>
  <c r="L8"/>
  <c r="G35" s="1"/>
  <c r="T8"/>
  <c r="F35"/>
  <c r="L9"/>
  <c r="G36" s="1"/>
  <c r="F36"/>
  <c r="O4"/>
  <c r="I31" s="1"/>
  <c r="I39" s="1"/>
  <c r="W4"/>
  <c r="H31"/>
  <c r="O6"/>
  <c r="I33" s="1"/>
  <c r="W6"/>
  <c r="H33"/>
  <c r="O8"/>
  <c r="I35" s="1"/>
  <c r="W8"/>
  <c r="H35"/>
  <c r="AC4" i="34"/>
  <c r="AD4" s="1"/>
  <c r="Q32"/>
  <c r="Q19"/>
  <c r="N54" i="28"/>
  <c r="AG4" i="34"/>
  <c r="H22" i="15"/>
  <c r="Q4" i="10"/>
  <c r="I4"/>
  <c r="E31" s="1"/>
  <c r="Q5"/>
  <c r="I5"/>
  <c r="E32" s="1"/>
  <c r="Q8"/>
  <c r="I8"/>
  <c r="E35" s="1"/>
  <c r="R10"/>
  <c r="K37" s="1"/>
  <c r="I10"/>
  <c r="E37" s="1"/>
  <c r="Q6"/>
  <c r="I6"/>
  <c r="E33" s="1"/>
  <c r="Q11"/>
  <c r="I11"/>
  <c r="E38" s="1"/>
  <c r="D7" i="4"/>
  <c r="H8" i="5"/>
  <c r="B19"/>
  <c r="B8"/>
  <c r="E19"/>
  <c r="D6" i="4"/>
  <c r="B7" i="5"/>
  <c r="H7"/>
  <c r="B18"/>
  <c r="E18"/>
  <c r="D8" i="4"/>
  <c r="H9" i="5"/>
  <c r="B20"/>
  <c r="E20"/>
  <c r="B9"/>
  <c r="F3" i="12"/>
  <c r="B9"/>
  <c r="C9" s="1"/>
  <c r="D9" s="1"/>
  <c r="F9" s="1"/>
  <c r="B10" i="34"/>
  <c r="N12" i="10"/>
  <c r="Y3" i="28"/>
  <c r="N5" i="22"/>
  <c r="B7" i="12"/>
  <c r="C7" s="1"/>
  <c r="D7" s="1"/>
  <c r="F7" s="1"/>
  <c r="B8" i="34"/>
  <c r="C51" i="9"/>
  <c r="E10" i="12"/>
  <c r="B9" i="34"/>
  <c r="K12" i="10"/>
  <c r="H15" i="18"/>
  <c r="D16" s="1"/>
  <c r="G16" s="1"/>
  <c r="J5" i="22"/>
  <c r="M5"/>
  <c r="B21" i="18"/>
  <c r="C20"/>
  <c r="H12" i="10"/>
  <c r="F12"/>
  <c r="C17" s="1"/>
  <c r="C14" i="4"/>
  <c r="C22" s="1"/>
  <c r="E14"/>
  <c r="E22" s="1"/>
  <c r="G14"/>
  <c r="G22" s="1"/>
  <c r="B14"/>
  <c r="D14"/>
  <c r="D22" s="1"/>
  <c r="D25" s="1"/>
  <c r="F14"/>
  <c r="F22" s="1"/>
  <c r="E8" i="3"/>
  <c r="G8" s="1"/>
  <c r="J8"/>
  <c r="K8" s="1"/>
  <c r="E7"/>
  <c r="G7" s="1"/>
  <c r="J7"/>
  <c r="K7" s="1"/>
  <c r="E9"/>
  <c r="G9" s="1"/>
  <c r="H9" s="1"/>
  <c r="J9"/>
  <c r="K9" s="1"/>
  <c r="B16" i="4"/>
  <c r="G16"/>
  <c r="E16"/>
  <c r="C16"/>
  <c r="H16"/>
  <c r="F16"/>
  <c r="F25" s="1"/>
  <c r="B8" i="12"/>
  <c r="C8" s="1"/>
  <c r="D8" s="1"/>
  <c r="F8" s="1"/>
  <c r="H14" i="4"/>
  <c r="G11" i="10"/>
  <c r="N38" l="1"/>
  <c r="X11"/>
  <c r="O38" s="1"/>
  <c r="C18"/>
  <c r="D48" i="23" s="1"/>
  <c r="E48" s="1"/>
  <c r="C13" i="19"/>
  <c r="E39" i="10"/>
  <c r="H39"/>
  <c r="U5"/>
  <c r="M32" s="1"/>
  <c r="L32"/>
  <c r="G39"/>
  <c r="E25" i="4"/>
  <c r="E26" s="1"/>
  <c r="R6" i="10"/>
  <c r="K33" s="1"/>
  <c r="J33"/>
  <c r="R8"/>
  <c r="K35" s="1"/>
  <c r="J35"/>
  <c r="R4"/>
  <c r="K31" s="1"/>
  <c r="J31"/>
  <c r="W12"/>
  <c r="N31"/>
  <c r="X4"/>
  <c r="U6"/>
  <c r="L33"/>
  <c r="C40"/>
  <c r="B31" i="3"/>
  <c r="C31"/>
  <c r="X6" i="10"/>
  <c r="N33"/>
  <c r="U8"/>
  <c r="L35"/>
  <c r="R11"/>
  <c r="K38" s="1"/>
  <c r="J38"/>
  <c r="R5"/>
  <c r="K32" s="1"/>
  <c r="J32"/>
  <c r="N35"/>
  <c r="X8"/>
  <c r="T12"/>
  <c r="U4"/>
  <c r="L31"/>
  <c r="L39" s="1"/>
  <c r="X5"/>
  <c r="O32" s="1"/>
  <c r="N32"/>
  <c r="AE4" i="34"/>
  <c r="AD3" i="28" s="1"/>
  <c r="AA3"/>
  <c r="AC3" s="1"/>
  <c r="B8" i="27"/>
  <c r="D8" s="1"/>
  <c r="C9" i="34" s="1"/>
  <c r="D9" s="1"/>
  <c r="E9" s="1"/>
  <c r="B9" i="27"/>
  <c r="D9" s="1"/>
  <c r="C10" i="34" s="1"/>
  <c r="D10" s="1"/>
  <c r="E10" s="1"/>
  <c r="O54" i="28"/>
  <c r="AA30"/>
  <c r="B7" i="27"/>
  <c r="D7" s="1"/>
  <c r="C8" i="34" s="1"/>
  <c r="D8" s="1"/>
  <c r="E8" s="1"/>
  <c r="AH4"/>
  <c r="T32"/>
  <c r="P54" i="28"/>
  <c r="T19" i="34"/>
  <c r="AA17" i="28"/>
  <c r="C25" i="4"/>
  <c r="C26" s="1"/>
  <c r="G25"/>
  <c r="G26" s="1"/>
  <c r="Z3" i="28"/>
  <c r="H16" i="18"/>
  <c r="D17" s="1"/>
  <c r="H17" s="1"/>
  <c r="D18" s="1"/>
  <c r="G10" i="10"/>
  <c r="G7"/>
  <c r="Q12"/>
  <c r="G6"/>
  <c r="J18" i="5"/>
  <c r="H18"/>
  <c r="I18"/>
  <c r="H20"/>
  <c r="I20"/>
  <c r="J20"/>
  <c r="H8" i="3"/>
  <c r="I8" s="1"/>
  <c r="I19" i="5"/>
  <c r="J19"/>
  <c r="H19"/>
  <c r="E9"/>
  <c r="F9" s="1"/>
  <c r="I9" s="1"/>
  <c r="D9"/>
  <c r="D20"/>
  <c r="B32"/>
  <c r="D32" s="1"/>
  <c r="D18"/>
  <c r="B30"/>
  <c r="D30" s="1"/>
  <c r="D7"/>
  <c r="E7"/>
  <c r="F7" s="1"/>
  <c r="I7" s="1"/>
  <c r="E31"/>
  <c r="G31" s="1"/>
  <c r="G19"/>
  <c r="D19"/>
  <c r="B31"/>
  <c r="D31" s="1"/>
  <c r="G20"/>
  <c r="E32"/>
  <c r="G32" s="1"/>
  <c r="G18"/>
  <c r="E30"/>
  <c r="G30" s="1"/>
  <c r="D8"/>
  <c r="E8"/>
  <c r="F8" s="1"/>
  <c r="I8" s="1"/>
  <c r="B22" i="4"/>
  <c r="B25" s="1"/>
  <c r="B26" s="1"/>
  <c r="G8" i="34"/>
  <c r="G10"/>
  <c r="G8" i="10"/>
  <c r="H7" i="3"/>
  <c r="I7" s="1"/>
  <c r="G9" i="10"/>
  <c r="G9" i="34"/>
  <c r="O5" i="22"/>
  <c r="C19" i="10"/>
  <c r="G9" i="12"/>
  <c r="H9" s="1"/>
  <c r="L9" i="3"/>
  <c r="M9"/>
  <c r="L8"/>
  <c r="M8"/>
  <c r="G8" i="12"/>
  <c r="H8" s="1"/>
  <c r="G4" i="10"/>
  <c r="G5"/>
  <c r="E46" i="23"/>
  <c r="I9" i="3"/>
  <c r="F26" i="4"/>
  <c r="D26"/>
  <c r="M7" i="3"/>
  <c r="L7"/>
  <c r="G7" i="12"/>
  <c r="H7" s="1"/>
  <c r="E16" i="18"/>
  <c r="B22"/>
  <c r="C21"/>
  <c r="L12" i="10"/>
  <c r="M7" s="1"/>
  <c r="I12"/>
  <c r="H22" i="4"/>
  <c r="H25" s="1"/>
  <c r="H26" s="1"/>
  <c r="F21" i="20"/>
  <c r="E35" i="23"/>
  <c r="D13" i="20"/>
  <c r="F13" s="1"/>
  <c r="G5" i="11"/>
  <c r="F6" i="3"/>
  <c r="B5" i="4" s="1"/>
  <c r="F5" i="3"/>
  <c r="B4" i="4" s="1"/>
  <c r="F4" i="3"/>
  <c r="B3" i="4" s="1"/>
  <c r="C6" i="3"/>
  <c r="J6" s="1"/>
  <c r="K6" s="1"/>
  <c r="C5"/>
  <c r="C4"/>
  <c r="C3"/>
  <c r="J3" s="1"/>
  <c r="K3" s="1"/>
  <c r="AI4" i="34" l="1"/>
  <c r="C50" i="6"/>
  <c r="B20"/>
  <c r="D20" s="1"/>
  <c r="C40" i="3"/>
  <c r="B10" i="6"/>
  <c r="D10" s="1"/>
  <c r="B42" i="3"/>
  <c r="B21" i="6"/>
  <c r="D21" s="1"/>
  <c r="C41" i="3"/>
  <c r="B8" i="6"/>
  <c r="D8" s="1"/>
  <c r="B40" i="3"/>
  <c r="M35" i="10"/>
  <c r="O31"/>
  <c r="X12"/>
  <c r="K39"/>
  <c r="B22" i="6"/>
  <c r="D22" s="1"/>
  <c r="C42" i="3"/>
  <c r="O33" i="10"/>
  <c r="G40"/>
  <c r="N39"/>
  <c r="M31"/>
  <c r="U12"/>
  <c r="M33"/>
  <c r="J39"/>
  <c r="E40"/>
  <c r="C14" i="19"/>
  <c r="B31" s="1"/>
  <c r="J7" i="10"/>
  <c r="D17"/>
  <c r="G17" i="18"/>
  <c r="E17" s="1"/>
  <c r="B9" i="6"/>
  <c r="D9" s="1"/>
  <c r="B41" i="3"/>
  <c r="O35" i="10"/>
  <c r="F8" i="27"/>
  <c r="H8" s="1"/>
  <c r="H9" i="34" s="1"/>
  <c r="I9" s="1"/>
  <c r="AF17" i="28"/>
  <c r="Q54"/>
  <c r="AC30"/>
  <c r="F9" i="27"/>
  <c r="H9" s="1"/>
  <c r="H10" i="34" s="1"/>
  <c r="I10" s="1"/>
  <c r="F7" i="27"/>
  <c r="H7" s="1"/>
  <c r="H8" i="34" s="1"/>
  <c r="I8" s="1"/>
  <c r="AC17" i="28"/>
  <c r="AF30"/>
  <c r="AE3"/>
  <c r="AF3"/>
  <c r="AJ4" i="34"/>
  <c r="C21" i="10"/>
  <c r="C22"/>
  <c r="F11" i="11"/>
  <c r="C44" i="23" s="1"/>
  <c r="E44" s="1"/>
  <c r="B4" i="5"/>
  <c r="B15"/>
  <c r="H4"/>
  <c r="E15"/>
  <c r="D5" i="4"/>
  <c r="B6" i="5"/>
  <c r="E17"/>
  <c r="H6"/>
  <c r="B17"/>
  <c r="D4" i="4"/>
  <c r="B5" i="5"/>
  <c r="B16"/>
  <c r="E16"/>
  <c r="H5"/>
  <c r="K19"/>
  <c r="K18"/>
  <c r="K20"/>
  <c r="D3" i="4"/>
  <c r="B9"/>
  <c r="B21" s="1"/>
  <c r="G6" i="12"/>
  <c r="H6" s="1"/>
  <c r="L6" i="3"/>
  <c r="M6"/>
  <c r="I8" i="12"/>
  <c r="J8" s="1"/>
  <c r="O8" i="3"/>
  <c r="N8"/>
  <c r="B36" i="34"/>
  <c r="D58" i="28"/>
  <c r="E58" s="1"/>
  <c r="B23" i="34"/>
  <c r="M3" i="3"/>
  <c r="L3"/>
  <c r="C36" s="1"/>
  <c r="G3" i="12"/>
  <c r="N7" i="3"/>
  <c r="I7" i="12"/>
  <c r="J7" s="1"/>
  <c r="O7" i="3"/>
  <c r="F9" i="34"/>
  <c r="E8" i="28" s="1"/>
  <c r="F8" s="1"/>
  <c r="B8"/>
  <c r="D8" s="1"/>
  <c r="L10" i="34"/>
  <c r="L8"/>
  <c r="B5"/>
  <c r="F10" i="3"/>
  <c r="O9"/>
  <c r="N9"/>
  <c r="I9" i="12"/>
  <c r="J9" s="1"/>
  <c r="B37" i="34"/>
  <c r="D59" i="28"/>
  <c r="E59" s="1"/>
  <c r="B24" i="34"/>
  <c r="B7"/>
  <c r="B25"/>
  <c r="D60" i="28"/>
  <c r="E60" s="1"/>
  <c r="B38" i="34"/>
  <c r="B6"/>
  <c r="H21" i="20"/>
  <c r="D45" i="23"/>
  <c r="E45" s="1"/>
  <c r="D21" i="20" s="1"/>
  <c r="P5" i="22"/>
  <c r="L9" i="34"/>
  <c r="F10"/>
  <c r="E9" i="28" s="1"/>
  <c r="F9" s="1"/>
  <c r="B9"/>
  <c r="D9" s="1"/>
  <c r="F8" i="34"/>
  <c r="E7" i="28" s="1"/>
  <c r="F7" s="1"/>
  <c r="B7"/>
  <c r="D7" s="1"/>
  <c r="B23" i="18"/>
  <c r="B24" s="1"/>
  <c r="C22"/>
  <c r="H18"/>
  <c r="D19" s="1"/>
  <c r="G18"/>
  <c r="E18" s="1"/>
  <c r="J11" i="10"/>
  <c r="J9"/>
  <c r="J6"/>
  <c r="I14"/>
  <c r="J10"/>
  <c r="J8"/>
  <c r="J5"/>
  <c r="J4"/>
  <c r="C47" i="23"/>
  <c r="D49" s="1"/>
  <c r="E49" s="1"/>
  <c r="C20" i="14"/>
  <c r="E17" i="10"/>
  <c r="L14"/>
  <c r="M10"/>
  <c r="M8"/>
  <c r="M5"/>
  <c r="M11"/>
  <c r="M9"/>
  <c r="M6"/>
  <c r="M4"/>
  <c r="O12"/>
  <c r="H13" i="20"/>
  <c r="E3" i="3"/>
  <c r="G3" s="1"/>
  <c r="E5"/>
  <c r="G5" s="1"/>
  <c r="J5"/>
  <c r="K5" s="1"/>
  <c r="E4"/>
  <c r="G4" s="1"/>
  <c r="J4"/>
  <c r="K4" s="1"/>
  <c r="D36" i="23"/>
  <c r="B5" i="12"/>
  <c r="C5" s="1"/>
  <c r="D5" s="1"/>
  <c r="F5" s="1"/>
  <c r="B4"/>
  <c r="B6"/>
  <c r="C6" s="1"/>
  <c r="D6" s="1"/>
  <c r="F6" s="1"/>
  <c r="G11" i="11"/>
  <c r="H5"/>
  <c r="C10" i="3"/>
  <c r="C11" s="1"/>
  <c r="E6"/>
  <c r="B33" i="6" l="1"/>
  <c r="D33" s="1"/>
  <c r="D42" i="3"/>
  <c r="B32" i="6"/>
  <c r="D32" s="1"/>
  <c r="D41" i="3"/>
  <c r="B19" i="6"/>
  <c r="D19" s="1"/>
  <c r="C39" i="3"/>
  <c r="D13" i="19"/>
  <c r="D18" i="10"/>
  <c r="D19" s="1"/>
  <c r="E20" i="14" s="1"/>
  <c r="O39" i="10"/>
  <c r="O40" s="1"/>
  <c r="P7"/>
  <c r="I40"/>
  <c r="B31" i="6"/>
  <c r="D31" s="1"/>
  <c r="D40" i="3"/>
  <c r="H17" i="10"/>
  <c r="K40"/>
  <c r="C21" i="14"/>
  <c r="B23" i="37" s="1"/>
  <c r="E13" i="19"/>
  <c r="E18" i="10"/>
  <c r="E19" s="1"/>
  <c r="M39"/>
  <c r="M40" s="1"/>
  <c r="I17"/>
  <c r="X14"/>
  <c r="B5" i="27"/>
  <c r="D5" s="1"/>
  <c r="C6" i="34" s="1"/>
  <c r="D6" s="1"/>
  <c r="E6" s="1"/>
  <c r="B6" i="27"/>
  <c r="D6" s="1"/>
  <c r="C7" i="34" s="1"/>
  <c r="D7" s="1"/>
  <c r="E7" s="1"/>
  <c r="B4" i="27"/>
  <c r="D4" s="1"/>
  <c r="C5" i="34" s="1"/>
  <c r="J9" i="27"/>
  <c r="L9" s="1"/>
  <c r="M10" i="34" s="1"/>
  <c r="N10" s="1"/>
  <c r="J8" i="27"/>
  <c r="L8" s="1"/>
  <c r="M9" i="34" s="1"/>
  <c r="N9" s="1"/>
  <c r="J7" i="27"/>
  <c r="L7" s="1"/>
  <c r="M8" i="34" s="1"/>
  <c r="N8" s="1"/>
  <c r="AH30" i="28"/>
  <c r="AH17"/>
  <c r="C63" i="6"/>
  <c r="AH3" i="28"/>
  <c r="AI3"/>
  <c r="H10" i="5"/>
  <c r="H4" i="3"/>
  <c r="I15" i="5"/>
  <c r="J15"/>
  <c r="H15"/>
  <c r="H5" i="3"/>
  <c r="I5" s="1"/>
  <c r="H16" i="5"/>
  <c r="I16"/>
  <c r="J16"/>
  <c r="D21" i="10"/>
  <c r="H3" i="3"/>
  <c r="I3" s="1"/>
  <c r="B36" s="1"/>
  <c r="J14" i="5"/>
  <c r="H14"/>
  <c r="I14"/>
  <c r="D9" i="4"/>
  <c r="G16" i="5"/>
  <c r="E28"/>
  <c r="G28" s="1"/>
  <c r="E5"/>
  <c r="F5" s="1"/>
  <c r="I5" s="1"/>
  <c r="D5"/>
  <c r="D17"/>
  <c r="B29"/>
  <c r="D29" s="1"/>
  <c r="E29"/>
  <c r="G29" s="1"/>
  <c r="G17"/>
  <c r="D4"/>
  <c r="E4"/>
  <c r="B10"/>
  <c r="D16"/>
  <c r="B28"/>
  <c r="D28" s="1"/>
  <c r="E6"/>
  <c r="F6" s="1"/>
  <c r="I6" s="1"/>
  <c r="D6"/>
  <c r="E27"/>
  <c r="G15"/>
  <c r="E21"/>
  <c r="D15"/>
  <c r="B27"/>
  <c r="B21"/>
  <c r="B36" i="28"/>
  <c r="D36" s="1"/>
  <c r="C38" i="34"/>
  <c r="D38" s="1"/>
  <c r="E36" i="28" s="1"/>
  <c r="F36" s="1"/>
  <c r="Q8" i="34"/>
  <c r="F60" i="28"/>
  <c r="G60" s="1"/>
  <c r="E38" i="34"/>
  <c r="E25"/>
  <c r="B23" i="28"/>
  <c r="D23" s="1"/>
  <c r="C25" i="34"/>
  <c r="D25" s="1"/>
  <c r="E23" i="28" s="1"/>
  <c r="F23" s="1"/>
  <c r="G7" i="34"/>
  <c r="B35" i="28"/>
  <c r="D35" s="1"/>
  <c r="C37" i="34"/>
  <c r="D37" s="1"/>
  <c r="E35" i="28" s="1"/>
  <c r="F35" s="1"/>
  <c r="Q9" i="3"/>
  <c r="S9" s="1"/>
  <c r="K9" i="12"/>
  <c r="L9" s="1"/>
  <c r="P9" i="3"/>
  <c r="E36" i="34"/>
  <c r="E23"/>
  <c r="F58" i="28"/>
  <c r="G58" s="1"/>
  <c r="Q10" i="34"/>
  <c r="H3" i="12"/>
  <c r="B34" i="28"/>
  <c r="D34" s="1"/>
  <c r="C36" i="34"/>
  <c r="D36" s="1"/>
  <c r="E34" i="28" s="1"/>
  <c r="F34" s="1"/>
  <c r="E24" i="34"/>
  <c r="E37"/>
  <c r="F59" i="28"/>
  <c r="G59" s="1"/>
  <c r="B22"/>
  <c r="D22" s="1"/>
  <c r="C24" i="34"/>
  <c r="D24" s="1"/>
  <c r="E22" i="28" s="1"/>
  <c r="F22" s="1"/>
  <c r="Q7" i="3"/>
  <c r="S7" s="1"/>
  <c r="K7" i="12"/>
  <c r="L7" s="1"/>
  <c r="P7" i="3"/>
  <c r="B16" i="6"/>
  <c r="D16" s="1"/>
  <c r="B21" i="28"/>
  <c r="D21" s="1"/>
  <c r="C23" i="34"/>
  <c r="D23" s="1"/>
  <c r="E21" i="28" s="1"/>
  <c r="F21" s="1"/>
  <c r="M4" i="3"/>
  <c r="G4" i="12"/>
  <c r="H4" s="1"/>
  <c r="L4" i="3"/>
  <c r="Q9" i="34"/>
  <c r="G5"/>
  <c r="B11"/>
  <c r="N3" i="3"/>
  <c r="I3" i="12"/>
  <c r="O3" i="3"/>
  <c r="K8" i="12"/>
  <c r="L8" s="1"/>
  <c r="P8" i="3"/>
  <c r="Q8"/>
  <c r="S8" s="1"/>
  <c r="J9" i="34"/>
  <c r="E10" i="3"/>
  <c r="G5" i="12"/>
  <c r="H5" s="1"/>
  <c r="L5" i="3"/>
  <c r="M5"/>
  <c r="M10" s="1"/>
  <c r="D22" i="10"/>
  <c r="G6" i="34"/>
  <c r="J8"/>
  <c r="J10"/>
  <c r="K10" i="3"/>
  <c r="N6"/>
  <c r="I6" i="12"/>
  <c r="J6" s="1"/>
  <c r="O6" i="3"/>
  <c r="E21" i="14"/>
  <c r="H19" i="18"/>
  <c r="D20" s="1"/>
  <c r="G19"/>
  <c r="E19" s="1"/>
  <c r="B25"/>
  <c r="C24"/>
  <c r="E22" i="10"/>
  <c r="E47" i="23"/>
  <c r="E21" i="10"/>
  <c r="F17"/>
  <c r="P11"/>
  <c r="P9"/>
  <c r="P6"/>
  <c r="O14"/>
  <c r="P10"/>
  <c r="P8"/>
  <c r="P5"/>
  <c r="R12"/>
  <c r="G20" i="14"/>
  <c r="P4" i="10"/>
  <c r="J13" i="20"/>
  <c r="F21" i="4"/>
  <c r="J10" i="3"/>
  <c r="C5" i="22"/>
  <c r="D5" s="1"/>
  <c r="E36" i="23"/>
  <c r="D14" i="20"/>
  <c r="B10" i="12"/>
  <c r="C4"/>
  <c r="I4" i="3"/>
  <c r="H21" i="4"/>
  <c r="D21"/>
  <c r="G21"/>
  <c r="C21"/>
  <c r="I5" i="11"/>
  <c r="G6" i="3"/>
  <c r="B10" i="27" l="1"/>
  <c r="C39" i="31"/>
  <c r="C32" i="15" s="1"/>
  <c r="B6" i="6"/>
  <c r="D6" s="1"/>
  <c r="B38" i="3"/>
  <c r="B18" i="6"/>
  <c r="D18" s="1"/>
  <c r="C38" i="3"/>
  <c r="U8"/>
  <c r="T8"/>
  <c r="O8" i="12"/>
  <c r="P8" s="1"/>
  <c r="U9" i="3"/>
  <c r="O9" i="12"/>
  <c r="P9" s="1"/>
  <c r="T9" i="3"/>
  <c r="E14" i="19"/>
  <c r="D31" s="1"/>
  <c r="H18" i="10"/>
  <c r="H19" s="1"/>
  <c r="M20" i="14" s="1"/>
  <c r="H13" i="19"/>
  <c r="H14" s="1"/>
  <c r="G31" s="1"/>
  <c r="B5" i="6"/>
  <c r="D5" s="1"/>
  <c r="B37" i="3"/>
  <c r="G17" i="10"/>
  <c r="V9"/>
  <c r="Y10"/>
  <c r="Y9"/>
  <c r="V10"/>
  <c r="V11"/>
  <c r="V7"/>
  <c r="Y7"/>
  <c r="Y11"/>
  <c r="Y6"/>
  <c r="Y8"/>
  <c r="V8"/>
  <c r="V5"/>
  <c r="V4"/>
  <c r="Y5"/>
  <c r="Y4"/>
  <c r="I22" s="1"/>
  <c r="V6"/>
  <c r="F13" i="19"/>
  <c r="F18" i="10"/>
  <c r="F19" s="1"/>
  <c r="I20" i="14" s="1"/>
  <c r="B30" i="6"/>
  <c r="D30" s="1"/>
  <c r="D39" i="3"/>
  <c r="B43" i="6"/>
  <c r="D43" s="1"/>
  <c r="E41" i="3"/>
  <c r="B27" i="6"/>
  <c r="D27" s="1"/>
  <c r="D36" i="3"/>
  <c r="B17" i="6"/>
  <c r="D17" s="1"/>
  <c r="C37" i="3"/>
  <c r="C43" s="1"/>
  <c r="U7"/>
  <c r="T7"/>
  <c r="O7" i="12"/>
  <c r="P7" s="1"/>
  <c r="I18" i="10"/>
  <c r="I19" s="1"/>
  <c r="O20" i="14" s="1"/>
  <c r="I13" i="19"/>
  <c r="I14" s="1"/>
  <c r="H31" s="1"/>
  <c r="D14"/>
  <c r="C31"/>
  <c r="B44" i="6"/>
  <c r="D44" s="1"/>
  <c r="E42" i="3"/>
  <c r="B42" i="6"/>
  <c r="D42" s="1"/>
  <c r="E40" i="3"/>
  <c r="U14" i="10"/>
  <c r="D5" i="34"/>
  <c r="E5" s="1"/>
  <c r="C11"/>
  <c r="N8" i="27"/>
  <c r="P8" s="1"/>
  <c r="R9" i="34" s="1"/>
  <c r="S9" s="1"/>
  <c r="N9" i="27"/>
  <c r="P9" s="1"/>
  <c r="R10" i="34" s="1"/>
  <c r="S10" s="1"/>
  <c r="F6" i="27"/>
  <c r="H6" s="1"/>
  <c r="H7" i="34" s="1"/>
  <c r="I7" s="1"/>
  <c r="N7" i="27"/>
  <c r="P7" s="1"/>
  <c r="R8" i="34" s="1"/>
  <c r="S8" s="1"/>
  <c r="F5" i="27"/>
  <c r="H5" s="1"/>
  <c r="H6" i="34" s="1"/>
  <c r="I6" s="1"/>
  <c r="F4" i="27"/>
  <c r="H4" s="1"/>
  <c r="H5" i="34" s="1"/>
  <c r="AJ3" i="28"/>
  <c r="C23" i="37"/>
  <c r="D39" i="31"/>
  <c r="D32" i="15" s="1"/>
  <c r="S4" i="10"/>
  <c r="S7"/>
  <c r="C9" i="6"/>
  <c r="C10"/>
  <c r="K16" i="5"/>
  <c r="K14"/>
  <c r="H11" i="11"/>
  <c r="G21" i="14" s="1"/>
  <c r="G21" i="5"/>
  <c r="H17"/>
  <c r="H21" s="1"/>
  <c r="I17"/>
  <c r="I21" s="1"/>
  <c r="J17"/>
  <c r="J21" s="1"/>
  <c r="K15"/>
  <c r="D21"/>
  <c r="D10"/>
  <c r="D27"/>
  <c r="D33" s="1"/>
  <c r="B33"/>
  <c r="G27"/>
  <c r="G33" s="1"/>
  <c r="E33"/>
  <c r="F4"/>
  <c r="E10"/>
  <c r="C8" i="6"/>
  <c r="M12" i="3"/>
  <c r="K10" i="34"/>
  <c r="G9" i="28"/>
  <c r="I9" s="1"/>
  <c r="K9" i="34"/>
  <c r="G8" i="28"/>
  <c r="I8" s="1"/>
  <c r="J3" i="12"/>
  <c r="Q6" i="3"/>
  <c r="S6" s="1"/>
  <c r="K6" i="12"/>
  <c r="L6" s="1"/>
  <c r="P6" i="3"/>
  <c r="G10" i="12"/>
  <c r="G21" i="28"/>
  <c r="I21" s="1"/>
  <c r="F23" i="34"/>
  <c r="G23" s="1"/>
  <c r="J21" i="28" s="1"/>
  <c r="K21" s="1"/>
  <c r="L7" i="34"/>
  <c r="F21" i="10"/>
  <c r="L5" i="34"/>
  <c r="G11"/>
  <c r="G15" s="1"/>
  <c r="C23" i="27"/>
  <c r="G35" i="28"/>
  <c r="I35" s="1"/>
  <c r="F37" i="34"/>
  <c r="G37" s="1"/>
  <c r="J35" i="28" s="1"/>
  <c r="K35" s="1"/>
  <c r="H10" i="12"/>
  <c r="C26" i="19" s="1"/>
  <c r="V10" i="34"/>
  <c r="G34" i="28"/>
  <c r="I34" s="1"/>
  <c r="F36" i="34"/>
  <c r="G36" s="1"/>
  <c r="J34" i="28" s="1"/>
  <c r="K34" s="1"/>
  <c r="G23"/>
  <c r="I23" s="1"/>
  <c r="F25" i="34"/>
  <c r="G25" s="1"/>
  <c r="J23" i="28" s="1"/>
  <c r="K23" s="1"/>
  <c r="F6" i="34"/>
  <c r="E5" i="28" s="1"/>
  <c r="F5" s="1"/>
  <c r="B5"/>
  <c r="D5" s="1"/>
  <c r="O5" i="3"/>
  <c r="I5" i="12"/>
  <c r="J5" s="1"/>
  <c r="N5" i="3"/>
  <c r="D38" s="1"/>
  <c r="B33" i="34"/>
  <c r="D55" i="28"/>
  <c r="B20" i="34"/>
  <c r="L10" i="3"/>
  <c r="D43" i="28" s="1"/>
  <c r="D3" i="19" s="1"/>
  <c r="D57" i="28"/>
  <c r="E57" s="1"/>
  <c r="B35" i="34"/>
  <c r="B22"/>
  <c r="V8"/>
  <c r="D10" i="27"/>
  <c r="B4" i="6"/>
  <c r="D4" s="1"/>
  <c r="K8" i="34"/>
  <c r="J7" i="28" s="1"/>
  <c r="K7" s="1"/>
  <c r="G7"/>
  <c r="I7" s="1"/>
  <c r="L6" i="34"/>
  <c r="M8" i="12"/>
  <c r="N8" s="1"/>
  <c r="R8" i="3"/>
  <c r="D11" i="34"/>
  <c r="H59" i="28"/>
  <c r="I59" s="1"/>
  <c r="H24" i="34"/>
  <c r="H37"/>
  <c r="D24" i="6"/>
  <c r="B24"/>
  <c r="M7" i="12"/>
  <c r="N7" s="1"/>
  <c r="R7" i="3"/>
  <c r="H38" i="34"/>
  <c r="H25"/>
  <c r="H60" i="28"/>
  <c r="I60" s="1"/>
  <c r="H23" i="34"/>
  <c r="H58" i="28"/>
  <c r="I58" s="1"/>
  <c r="H36" i="34"/>
  <c r="B23" i="27"/>
  <c r="F15" i="11"/>
  <c r="E21" i="4"/>
  <c r="K12" i="3"/>
  <c r="B21" i="34"/>
  <c r="B34"/>
  <c r="D56" i="28"/>
  <c r="E56" s="1"/>
  <c r="Q3" i="3"/>
  <c r="S3" s="1"/>
  <c r="K3" i="12"/>
  <c r="P3" i="3"/>
  <c r="E36" s="1"/>
  <c r="V9" i="34"/>
  <c r="I4" i="12"/>
  <c r="J4" s="1"/>
  <c r="O4" i="3"/>
  <c r="N4"/>
  <c r="G22" i="28"/>
  <c r="I22" s="1"/>
  <c r="F24" i="34"/>
  <c r="G24" s="1"/>
  <c r="J22" i="28" s="1"/>
  <c r="K22" s="1"/>
  <c r="F10" i="27"/>
  <c r="M9" i="12"/>
  <c r="N9" s="1"/>
  <c r="R9" i="3"/>
  <c r="F7" i="34"/>
  <c r="E6" i="28" s="1"/>
  <c r="F6" s="1"/>
  <c r="B6"/>
  <c r="D6" s="1"/>
  <c r="G36"/>
  <c r="I36" s="1"/>
  <c r="F38" i="34"/>
  <c r="G38" s="1"/>
  <c r="J36" i="28" s="1"/>
  <c r="K36" s="1"/>
  <c r="H6" i="3"/>
  <c r="H10" s="1"/>
  <c r="G10"/>
  <c r="C43" i="28" s="1"/>
  <c r="C3" i="19" s="1"/>
  <c r="B39" s="1"/>
  <c r="B40" s="1"/>
  <c r="B26" i="18"/>
  <c r="C25"/>
  <c r="G20"/>
  <c r="E20" s="1"/>
  <c r="H20"/>
  <c r="D21" s="1"/>
  <c r="F22" i="10"/>
  <c r="R14"/>
  <c r="S10"/>
  <c r="S8"/>
  <c r="S5"/>
  <c r="S11"/>
  <c r="S9"/>
  <c r="S6"/>
  <c r="D15" i="20"/>
  <c r="D19" s="1"/>
  <c r="F14"/>
  <c r="L13"/>
  <c r="D4" i="12"/>
  <c r="D10" s="1"/>
  <c r="C10"/>
  <c r="I11" i="11"/>
  <c r="J5"/>
  <c r="K5" s="1"/>
  <c r="B41" i="6" l="1"/>
  <c r="D41" s="1"/>
  <c r="E39" i="3"/>
  <c r="V8"/>
  <c r="B81" i="6" s="1"/>
  <c r="D81" s="1"/>
  <c r="Q8" i="12"/>
  <c r="R8" s="1"/>
  <c r="B56" i="6"/>
  <c r="D56" s="1"/>
  <c r="F42" i="3"/>
  <c r="U6"/>
  <c r="T6"/>
  <c r="O6" i="12"/>
  <c r="P6" s="1"/>
  <c r="G40" i="3"/>
  <c r="H40" s="1"/>
  <c r="B67" i="6"/>
  <c r="D67" s="1"/>
  <c r="H22" i="10"/>
  <c r="B28" i="6"/>
  <c r="D28" s="1"/>
  <c r="D37" i="3"/>
  <c r="D43" s="1"/>
  <c r="B54" i="6"/>
  <c r="D54" s="1"/>
  <c r="F40" i="3"/>
  <c r="C39" i="19"/>
  <c r="C40" s="1"/>
  <c r="D6"/>
  <c r="D24" i="31"/>
  <c r="D5" i="19"/>
  <c r="Q7" i="12"/>
  <c r="R7" s="1"/>
  <c r="V7" i="3"/>
  <c r="B80" i="6" s="1"/>
  <c r="D80" s="1"/>
  <c r="H21" i="10"/>
  <c r="G13" i="19"/>
  <c r="G18" i="10"/>
  <c r="G19" s="1"/>
  <c r="K20" i="14" s="1"/>
  <c r="G42" i="3"/>
  <c r="H42" s="1"/>
  <c r="B69" i="6"/>
  <c r="D69" s="1"/>
  <c r="G41" i="3"/>
  <c r="H41" s="1"/>
  <c r="B68" i="6"/>
  <c r="D68" s="1"/>
  <c r="B55"/>
  <c r="D55" s="1"/>
  <c r="F41" i="3"/>
  <c r="G21" i="10"/>
  <c r="U3" i="3"/>
  <c r="T3"/>
  <c r="O3" i="12"/>
  <c r="F14" i="19"/>
  <c r="E31" s="1"/>
  <c r="I21" i="10"/>
  <c r="Q9" i="12"/>
  <c r="R9" s="1"/>
  <c r="V9" i="3"/>
  <c r="B82" i="6" s="1"/>
  <c r="D82" s="1"/>
  <c r="I5" i="34"/>
  <c r="H11"/>
  <c r="C24" i="31"/>
  <c r="C5" i="19"/>
  <c r="C6"/>
  <c r="C7"/>
  <c r="R8" i="27"/>
  <c r="T8" s="1"/>
  <c r="W9" i="34" s="1"/>
  <c r="X9" s="1"/>
  <c r="AA9"/>
  <c r="J5" i="27"/>
  <c r="L5" s="1"/>
  <c r="M6" i="34" s="1"/>
  <c r="N6" s="1"/>
  <c r="AA10"/>
  <c r="R9" i="27"/>
  <c r="T9" s="1"/>
  <c r="W10" i="34" s="1"/>
  <c r="X10" s="1"/>
  <c r="J4" i="27"/>
  <c r="L4" s="1"/>
  <c r="M5" i="34" s="1"/>
  <c r="N5" s="1"/>
  <c r="J6" i="27"/>
  <c r="L6" s="1"/>
  <c r="M7" i="34" s="1"/>
  <c r="N7" s="1"/>
  <c r="AA8"/>
  <c r="R7" i="27"/>
  <c r="T7" s="1"/>
  <c r="W8" i="34" s="1"/>
  <c r="X8" s="1"/>
  <c r="L5" i="11"/>
  <c r="K11"/>
  <c r="M21" i="14" s="1"/>
  <c r="C76" i="6"/>
  <c r="D23" i="37"/>
  <c r="E39" i="31"/>
  <c r="E32" i="15" s="1"/>
  <c r="G22" i="10"/>
  <c r="K17" i="5"/>
  <c r="K21" s="1"/>
  <c r="I4"/>
  <c r="I10" s="1"/>
  <c r="F10"/>
  <c r="K10" s="1"/>
  <c r="J6" i="34"/>
  <c r="K6" s="1"/>
  <c r="C46" i="28"/>
  <c r="C45"/>
  <c r="C44"/>
  <c r="J7" i="34"/>
  <c r="G6" i="28" s="1"/>
  <c r="I6" s="1"/>
  <c r="H10" i="27"/>
  <c r="B38" i="6"/>
  <c r="D38" s="1"/>
  <c r="L34" i="28"/>
  <c r="N34" s="1"/>
  <c r="I36" i="34"/>
  <c r="J36" s="1"/>
  <c r="O34" i="28" s="1"/>
  <c r="P34" s="1"/>
  <c r="L23"/>
  <c r="N23" s="1"/>
  <c r="I25" i="34"/>
  <c r="J25" s="1"/>
  <c r="O23" i="28" s="1"/>
  <c r="P23" s="1"/>
  <c r="L35"/>
  <c r="N35" s="1"/>
  <c r="I37" i="34"/>
  <c r="J37" s="1"/>
  <c r="O35" i="28" s="1"/>
  <c r="P35" s="1"/>
  <c r="F5" i="34"/>
  <c r="B4" i="28"/>
  <c r="E11" i="34"/>
  <c r="J58" i="28"/>
  <c r="K58" s="1"/>
  <c r="K36" i="34"/>
  <c r="K23"/>
  <c r="E55" i="28"/>
  <c r="O8" i="34"/>
  <c r="E10" i="22"/>
  <c r="F10" s="1"/>
  <c r="G10" s="1"/>
  <c r="O9" i="34"/>
  <c r="J8" i="28"/>
  <c r="K8" s="1"/>
  <c r="C21" i="6" s="1"/>
  <c r="L3" i="12"/>
  <c r="L22" i="28"/>
  <c r="N22" s="1"/>
  <c r="I24" i="34"/>
  <c r="J24" s="1"/>
  <c r="O22" i="28" s="1"/>
  <c r="P22" s="1"/>
  <c r="Q6" i="34"/>
  <c r="E10" i="14"/>
  <c r="E3" i="22"/>
  <c r="F3" s="1"/>
  <c r="B31" i="28"/>
  <c r="C33" i="34"/>
  <c r="P5" i="3"/>
  <c r="K5" i="12"/>
  <c r="L5" s="1"/>
  <c r="Q5" i="3"/>
  <c r="S5" s="1"/>
  <c r="Q5" i="34"/>
  <c r="L11"/>
  <c r="L15" s="1"/>
  <c r="Q7"/>
  <c r="J11" i="11"/>
  <c r="K38" i="34"/>
  <c r="J60" i="28"/>
  <c r="K60" s="1"/>
  <c r="K25" i="34"/>
  <c r="E20"/>
  <c r="E33"/>
  <c r="F55" i="28"/>
  <c r="D25" i="10"/>
  <c r="J10" i="12"/>
  <c r="D26" i="19" s="1"/>
  <c r="O10" i="34"/>
  <c r="J9" i="28"/>
  <c r="K9" s="1"/>
  <c r="C22" i="6" s="1"/>
  <c r="B33" i="28"/>
  <c r="D33" s="1"/>
  <c r="C35" i="34"/>
  <c r="D35" s="1"/>
  <c r="E33" i="28" s="1"/>
  <c r="F33" s="1"/>
  <c r="I11" i="34"/>
  <c r="I14" s="1"/>
  <c r="O10" i="3"/>
  <c r="K4" i="12"/>
  <c r="L4" s="1"/>
  <c r="P4" i="3"/>
  <c r="Q4"/>
  <c r="S4" s="1"/>
  <c r="L36" i="28"/>
  <c r="N36" s="1"/>
  <c r="I38" i="34"/>
  <c r="J38" s="1"/>
  <c r="O36" i="28" s="1"/>
  <c r="P36" s="1"/>
  <c r="I10" i="12"/>
  <c r="R3" i="3"/>
  <c r="F36" s="1"/>
  <c r="M3" i="12"/>
  <c r="B32" i="28"/>
  <c r="D32" s="1"/>
  <c r="C34" i="34"/>
  <c r="D34" s="1"/>
  <c r="E32" i="28" s="1"/>
  <c r="F32" s="1"/>
  <c r="L21"/>
  <c r="N21" s="1"/>
  <c r="I23" i="34"/>
  <c r="J23" s="1"/>
  <c r="O21" i="28" s="1"/>
  <c r="P21" s="1"/>
  <c r="F56"/>
  <c r="G56" s="1"/>
  <c r="E34" i="34"/>
  <c r="E21"/>
  <c r="N10" i="3"/>
  <c r="E43" i="28" s="1"/>
  <c r="E3" i="19" s="1"/>
  <c r="B29" i="6"/>
  <c r="D29" s="1"/>
  <c r="I21" i="14"/>
  <c r="I6" i="3"/>
  <c r="B39" s="1"/>
  <c r="B43" s="1"/>
  <c r="J59" i="28"/>
  <c r="K59" s="1"/>
  <c r="K24" i="34"/>
  <c r="K37"/>
  <c r="B19" i="28"/>
  <c r="D19" s="1"/>
  <c r="C21" i="34"/>
  <c r="D21" s="1"/>
  <c r="E19" i="28" s="1"/>
  <c r="F19" s="1"/>
  <c r="C20" i="6"/>
  <c r="B20" i="28"/>
  <c r="D20" s="1"/>
  <c r="C22" i="34"/>
  <c r="D22" s="1"/>
  <c r="E20" i="28" s="1"/>
  <c r="F20" s="1"/>
  <c r="B18"/>
  <c r="C20" i="34"/>
  <c r="F57" i="28"/>
  <c r="G57" s="1"/>
  <c r="E22" i="34"/>
  <c r="E35"/>
  <c r="M6" i="12"/>
  <c r="N6" s="1"/>
  <c r="R6" i="3"/>
  <c r="B27" i="18"/>
  <c r="B28" s="1"/>
  <c r="C26"/>
  <c r="H21"/>
  <c r="D22" s="1"/>
  <c r="G21"/>
  <c r="E21" s="1"/>
  <c r="D23" i="20"/>
  <c r="H14"/>
  <c r="F15"/>
  <c r="F4" i="12"/>
  <c r="D23" i="31" l="1"/>
  <c r="J10" i="27"/>
  <c r="K7" i="34"/>
  <c r="J6" i="28" s="1"/>
  <c r="K6" s="1"/>
  <c r="P3" i="12"/>
  <c r="D39" i="19"/>
  <c r="D40" s="1"/>
  <c r="E6"/>
  <c r="E5"/>
  <c r="E24" i="31"/>
  <c r="E23" s="1"/>
  <c r="G5" i="28"/>
  <c r="I5" s="1"/>
  <c r="U5" i="3"/>
  <c r="U10" s="1"/>
  <c r="T5"/>
  <c r="O5" i="12"/>
  <c r="P5" s="1"/>
  <c r="G36" i="3"/>
  <c r="H36" s="1"/>
  <c r="B63" i="6"/>
  <c r="G39" i="3"/>
  <c r="H39" s="1"/>
  <c r="B66" i="6"/>
  <c r="D66" s="1"/>
  <c r="U4" i="3"/>
  <c r="T4"/>
  <c r="O4" i="12"/>
  <c r="P4" s="1"/>
  <c r="Q3"/>
  <c r="V3" i="3"/>
  <c r="V6"/>
  <c r="B79" i="6" s="1"/>
  <c r="D79" s="1"/>
  <c r="Q6" i="12"/>
  <c r="R6" s="1"/>
  <c r="B53" i="6"/>
  <c r="D53" s="1"/>
  <c r="F39" i="3"/>
  <c r="C7" i="6"/>
  <c r="B39"/>
  <c r="D39" s="1"/>
  <c r="E37" i="3"/>
  <c r="B40" i="6"/>
  <c r="D40" s="1"/>
  <c r="E38" i="3"/>
  <c r="S10"/>
  <c r="G14" i="19"/>
  <c r="F31" s="1"/>
  <c r="N6" i="27"/>
  <c r="P6" s="1"/>
  <c r="R7" i="34" s="1"/>
  <c r="S7" s="1"/>
  <c r="N4" i="27"/>
  <c r="P4" s="1"/>
  <c r="R5" i="34" s="1"/>
  <c r="S5" s="1"/>
  <c r="N5" i="27"/>
  <c r="P5" s="1"/>
  <c r="R6" i="34" s="1"/>
  <c r="S6" s="1"/>
  <c r="V9" i="27"/>
  <c r="X9" s="1"/>
  <c r="AF10" i="34"/>
  <c r="AB10"/>
  <c r="V8" i="27"/>
  <c r="X8" s="1"/>
  <c r="AB9" i="34" s="1"/>
  <c r="AF9"/>
  <c r="E14" i="14"/>
  <c r="F29" s="1"/>
  <c r="D6" i="36"/>
  <c r="V7" i="27"/>
  <c r="X7" s="1"/>
  <c r="AB8" i="34" s="1"/>
  <c r="AF8"/>
  <c r="G12"/>
  <c r="L11" i="11"/>
  <c r="O21" i="14" s="1"/>
  <c r="M5" i="11"/>
  <c r="N5" s="1"/>
  <c r="N11" s="1"/>
  <c r="I42" i="31" s="1"/>
  <c r="H39"/>
  <c r="H32" i="15" s="1"/>
  <c r="H23" i="37"/>
  <c r="D23" i="27"/>
  <c r="F39" i="31"/>
  <c r="F32" i="15" s="1"/>
  <c r="E23" i="37"/>
  <c r="C44" i="3"/>
  <c r="Q10"/>
  <c r="C6" i="6"/>
  <c r="K10" i="12"/>
  <c r="N11" i="34"/>
  <c r="N14" s="1"/>
  <c r="L10" i="27"/>
  <c r="F10" i="12"/>
  <c r="G20" i="28"/>
  <c r="I20" s="1"/>
  <c r="F22" i="34"/>
  <c r="G22" s="1"/>
  <c r="J20" i="28" s="1"/>
  <c r="K20" s="1"/>
  <c r="Q35"/>
  <c r="S35" s="1"/>
  <c r="L37" i="34"/>
  <c r="M37" s="1"/>
  <c r="T35" i="28" s="1"/>
  <c r="U35" s="1"/>
  <c r="G31"/>
  <c r="E39" i="34"/>
  <c r="V6"/>
  <c r="Q34" i="28"/>
  <c r="S34" s="1"/>
  <c r="L36" i="34"/>
  <c r="M36" s="1"/>
  <c r="T34" i="28" s="1"/>
  <c r="U34" s="1"/>
  <c r="E4"/>
  <c r="F11" i="34"/>
  <c r="F13" s="1"/>
  <c r="H13" i="11"/>
  <c r="H15" s="1"/>
  <c r="Q22" i="28"/>
  <c r="S22" s="1"/>
  <c r="L24" i="34"/>
  <c r="M24" s="1"/>
  <c r="T22" i="28" s="1"/>
  <c r="U22" s="1"/>
  <c r="B7" i="6"/>
  <c r="D7" s="1"/>
  <c r="I10" i="3"/>
  <c r="G32" i="28"/>
  <c r="I32" s="1"/>
  <c r="F34" i="34"/>
  <c r="G34" s="1"/>
  <c r="J32" i="28" s="1"/>
  <c r="K32" s="1"/>
  <c r="B50" i="6"/>
  <c r="D50" s="1"/>
  <c r="G18" i="28"/>
  <c r="E26" i="34"/>
  <c r="K21" i="14"/>
  <c r="V7" i="34"/>
  <c r="V5"/>
  <c r="Q11"/>
  <c r="Q15" s="1"/>
  <c r="G3" i="22"/>
  <c r="H34" i="34"/>
  <c r="H56" i="28"/>
  <c r="I56" s="1"/>
  <c r="H21" i="34"/>
  <c r="L10" i="12"/>
  <c r="E26" i="19" s="1"/>
  <c r="P10" i="3"/>
  <c r="F43" i="28" s="1"/>
  <c r="F3" i="19" s="1"/>
  <c r="D20" i="34"/>
  <c r="D35" i="6"/>
  <c r="B35"/>
  <c r="Q12" i="3"/>
  <c r="N25" i="34"/>
  <c r="N38"/>
  <c r="L60" i="28"/>
  <c r="M60" s="1"/>
  <c r="M4" i="12"/>
  <c r="N4" s="1"/>
  <c r="R4" i="3"/>
  <c r="O12"/>
  <c r="J5" i="34"/>
  <c r="O6"/>
  <c r="J5" i="28"/>
  <c r="K5" s="1"/>
  <c r="N37" i="34"/>
  <c r="N24"/>
  <c r="L59" i="28"/>
  <c r="M59" s="1"/>
  <c r="Q23"/>
  <c r="S23" s="1"/>
  <c r="L25" i="34"/>
  <c r="M25" s="1"/>
  <c r="T23" i="28" s="1"/>
  <c r="U23" s="1"/>
  <c r="M5" i="12"/>
  <c r="N5" s="1"/>
  <c r="R5" i="3"/>
  <c r="F20" i="14"/>
  <c r="D46" i="6"/>
  <c r="G19" i="28"/>
  <c r="I19" s="1"/>
  <c r="F21" i="34"/>
  <c r="G21" s="1"/>
  <c r="J19" i="28" s="1"/>
  <c r="K19" s="1"/>
  <c r="N3" i="12"/>
  <c r="N10" s="1"/>
  <c r="H10" i="22"/>
  <c r="I10" s="1"/>
  <c r="J10" s="1"/>
  <c r="J12" i="12"/>
  <c r="Q36" i="28"/>
  <c r="S36" s="1"/>
  <c r="L38" i="34"/>
  <c r="M38" s="1"/>
  <c r="T36" i="28" s="1"/>
  <c r="U36" s="1"/>
  <c r="H35" i="34"/>
  <c r="H57" i="28"/>
  <c r="I57" s="1"/>
  <c r="H22" i="34"/>
  <c r="D31" i="28"/>
  <c r="D44"/>
  <c r="P9" i="34"/>
  <c r="L8" i="28"/>
  <c r="N8" s="1"/>
  <c r="P8" i="34"/>
  <c r="L7" i="28"/>
  <c r="N7" s="1"/>
  <c r="C47"/>
  <c r="G33"/>
  <c r="I33" s="1"/>
  <c r="F35" i="34"/>
  <c r="G35" s="1"/>
  <c r="J33" i="28" s="1"/>
  <c r="K33" s="1"/>
  <c r="D18"/>
  <c r="G10" i="14"/>
  <c r="E6" i="36" s="1"/>
  <c r="N12" i="3"/>
  <c r="H3" i="22"/>
  <c r="I3" s="1"/>
  <c r="N13" i="3"/>
  <c r="P10" i="34"/>
  <c r="L9" i="28"/>
  <c r="N9" s="1"/>
  <c r="G55"/>
  <c r="F61"/>
  <c r="O7" i="34"/>
  <c r="H55" i="28"/>
  <c r="H33" i="34"/>
  <c r="H20"/>
  <c r="M11"/>
  <c r="E25" i="10" s="1"/>
  <c r="E27" s="1"/>
  <c r="D33" i="34"/>
  <c r="F33" s="1"/>
  <c r="N36"/>
  <c r="N23"/>
  <c r="L58" i="28"/>
  <c r="M58" s="1"/>
  <c r="Q21"/>
  <c r="S21" s="1"/>
  <c r="L23" i="34"/>
  <c r="M23" s="1"/>
  <c r="T21" i="28" s="1"/>
  <c r="U21" s="1"/>
  <c r="D4"/>
  <c r="B10"/>
  <c r="G13" i="11"/>
  <c r="G15" s="1"/>
  <c r="D27" i="10"/>
  <c r="J7" i="19"/>
  <c r="C15"/>
  <c r="B30" s="1"/>
  <c r="G22" i="18"/>
  <c r="E22" s="1"/>
  <c r="H22"/>
  <c r="D23" s="1"/>
  <c r="B29"/>
  <c r="C28"/>
  <c r="F19" i="20"/>
  <c r="F23"/>
  <c r="J14"/>
  <c r="H15"/>
  <c r="I34" i="15" l="1"/>
  <c r="I14"/>
  <c r="I44" s="1"/>
  <c r="B46" i="6"/>
  <c r="E43" i="3"/>
  <c r="S12"/>
  <c r="F30" i="14"/>
  <c r="F28"/>
  <c r="F31"/>
  <c r="M11" i="11"/>
  <c r="B51" i="6"/>
  <c r="D51" s="1"/>
  <c r="F37" i="3"/>
  <c r="Q4" i="12"/>
  <c r="R4" s="1"/>
  <c r="V4" i="3"/>
  <c r="B77" i="6" s="1"/>
  <c r="D77" s="1"/>
  <c r="D63"/>
  <c r="Q5" i="12"/>
  <c r="R5" s="1"/>
  <c r="V5" i="3"/>
  <c r="B78" i="6" s="1"/>
  <c r="D78" s="1"/>
  <c r="N10" i="27"/>
  <c r="P10" i="12"/>
  <c r="H26" i="19" s="1"/>
  <c r="F21" i="14"/>
  <c r="B76" i="6"/>
  <c r="G37" i="3"/>
  <c r="B64" i="6"/>
  <c r="D64" s="1"/>
  <c r="T10" i="3"/>
  <c r="G38"/>
  <c r="H38" s="1"/>
  <c r="B65" i="6"/>
  <c r="D65" s="1"/>
  <c r="O10" i="12"/>
  <c r="G26" i="19" s="1"/>
  <c r="B52" i="6"/>
  <c r="D52" s="1"/>
  <c r="D58" s="1"/>
  <c r="F38" i="3"/>
  <c r="E39" i="19"/>
  <c r="E40" s="1"/>
  <c r="F24" i="31"/>
  <c r="F23" s="1"/>
  <c r="F5" i="19"/>
  <c r="F6"/>
  <c r="R3" i="12"/>
  <c r="AC9" i="34"/>
  <c r="Q37"/>
  <c r="AA35" i="28" s="1"/>
  <c r="AC35" s="1"/>
  <c r="N59"/>
  <c r="O59" s="1"/>
  <c r="Q24" i="34"/>
  <c r="AA22" i="28" s="1"/>
  <c r="AC22" s="1"/>
  <c r="R4" i="27"/>
  <c r="T4" s="1"/>
  <c r="W5" i="34" s="1"/>
  <c r="X5" s="1"/>
  <c r="AA5"/>
  <c r="AC8"/>
  <c r="Q36"/>
  <c r="AA34" i="28" s="1"/>
  <c r="AC34" s="1"/>
  <c r="N58"/>
  <c r="O58" s="1"/>
  <c r="Q23" i="34"/>
  <c r="AA21" i="28" s="1"/>
  <c r="AC21" s="1"/>
  <c r="AC10" i="34"/>
  <c r="Q25"/>
  <c r="AA23" i="28" s="1"/>
  <c r="AC23" s="1"/>
  <c r="Q38" i="34"/>
  <c r="AA36" i="28" s="1"/>
  <c r="AC36" s="1"/>
  <c r="N60"/>
  <c r="O60" s="1"/>
  <c r="R6" i="27"/>
  <c r="T6" s="1"/>
  <c r="W7" i="34" s="1"/>
  <c r="X7" s="1"/>
  <c r="AA7"/>
  <c r="AA6"/>
  <c r="R5" i="27"/>
  <c r="T5" s="1"/>
  <c r="W6" i="34" s="1"/>
  <c r="X6" s="1"/>
  <c r="Z7" i="27"/>
  <c r="AB7" s="1"/>
  <c r="AG8" i="34" s="1"/>
  <c r="Z8" i="27"/>
  <c r="AB8" s="1"/>
  <c r="AG9" i="34" s="1"/>
  <c r="Z9" i="27"/>
  <c r="AB9" s="1"/>
  <c r="AG10" i="34" s="1"/>
  <c r="F26" i="19"/>
  <c r="I39" i="31"/>
  <c r="I32" i="15" s="1"/>
  <c r="F23" i="37"/>
  <c r="G39" i="31"/>
  <c r="G32" i="15" s="1"/>
  <c r="B6" i="22"/>
  <c r="C6" s="1"/>
  <c r="G14" i="14"/>
  <c r="H29" s="1"/>
  <c r="D44" i="3"/>
  <c r="H12" i="12"/>
  <c r="B26" i="19"/>
  <c r="C29" i="23"/>
  <c r="E29" s="1"/>
  <c r="B94" i="28"/>
  <c r="J6" i="19"/>
  <c r="B24"/>
  <c r="B23"/>
  <c r="J5"/>
  <c r="B33"/>
  <c r="C16"/>
  <c r="B11" i="22" s="1"/>
  <c r="C33" i="19"/>
  <c r="C24"/>
  <c r="B76" i="28"/>
  <c r="B9" i="22"/>
  <c r="C18" i="6"/>
  <c r="S11" i="34"/>
  <c r="S14" s="1"/>
  <c r="C19" i="6"/>
  <c r="D45" i="28"/>
  <c r="D46"/>
  <c r="E23" i="27"/>
  <c r="P10"/>
  <c r="G33" i="34"/>
  <c r="I33" s="1"/>
  <c r="V21" i="28"/>
  <c r="X21" s="1"/>
  <c r="O23" i="34"/>
  <c r="P23" s="1"/>
  <c r="T9"/>
  <c r="O8" i="28"/>
  <c r="P8" s="1"/>
  <c r="C32" i="6" s="1"/>
  <c r="K3" i="22"/>
  <c r="L3" s="1"/>
  <c r="P12" i="3"/>
  <c r="P13"/>
  <c r="I10" i="14"/>
  <c r="F6" i="36" s="1"/>
  <c r="K22" i="34"/>
  <c r="K35"/>
  <c r="J57" i="28"/>
  <c r="K57" s="1"/>
  <c r="F4"/>
  <c r="F10" s="1"/>
  <c r="E10"/>
  <c r="L18"/>
  <c r="H26" i="34"/>
  <c r="H28" s="1"/>
  <c r="D15" i="19"/>
  <c r="C30" s="1"/>
  <c r="D7"/>
  <c r="C23" s="1"/>
  <c r="L20" i="28"/>
  <c r="N20" s="1"/>
  <c r="I22" i="34"/>
  <c r="J22" s="1"/>
  <c r="O20" i="28" s="1"/>
  <c r="P20" s="1"/>
  <c r="N10" i="22"/>
  <c r="O10" s="1"/>
  <c r="P10" s="1"/>
  <c r="N12" i="12"/>
  <c r="V22" i="28"/>
  <c r="X22" s="1"/>
  <c r="O24" i="34"/>
  <c r="P24" s="1"/>
  <c r="K5"/>
  <c r="G4" i="28"/>
  <c r="J11" i="34"/>
  <c r="V23" i="28"/>
  <c r="X23" s="1"/>
  <c r="O25" i="34"/>
  <c r="P25" s="1"/>
  <c r="E18" i="28"/>
  <c r="L32"/>
  <c r="N32" s="1"/>
  <c r="I34" i="34"/>
  <c r="J34" s="1"/>
  <c r="O32" i="28" s="1"/>
  <c r="P32" s="1"/>
  <c r="V11" i="34"/>
  <c r="V15" s="1"/>
  <c r="F20"/>
  <c r="R10" i="3"/>
  <c r="G43" i="28" s="1"/>
  <c r="G3" i="19" s="1"/>
  <c r="C10" i="14"/>
  <c r="C6" i="36" s="1"/>
  <c r="B3" i="22"/>
  <c r="D12" i="23"/>
  <c r="K34" i="34"/>
  <c r="K21"/>
  <c r="J56" i="28"/>
  <c r="K56" s="1"/>
  <c r="D10"/>
  <c r="L31"/>
  <c r="H39" i="34"/>
  <c r="H41" s="1"/>
  <c r="O7" i="28"/>
  <c r="P7" s="1"/>
  <c r="C31" i="6" s="1"/>
  <c r="T8" i="34"/>
  <c r="M10" i="12"/>
  <c r="V35" i="28"/>
  <c r="X35" s="1"/>
  <c r="O37" i="34"/>
  <c r="P37" s="1"/>
  <c r="L12" i="12"/>
  <c r="K10" i="22"/>
  <c r="L10" s="1"/>
  <c r="M10" s="1"/>
  <c r="J55" i="28"/>
  <c r="K20" i="34"/>
  <c r="K33"/>
  <c r="R11"/>
  <c r="F25" i="10" s="1"/>
  <c r="I18" i="28"/>
  <c r="I24" s="1"/>
  <c r="C92" s="1"/>
  <c r="G24"/>
  <c r="D12" i="6"/>
  <c r="B12"/>
  <c r="B10" i="22"/>
  <c r="P7" i="34"/>
  <c r="O6" i="28" s="1"/>
  <c r="P6" s="1"/>
  <c r="L6"/>
  <c r="N6" s="1"/>
  <c r="P6" i="34"/>
  <c r="O5" i="28" s="1"/>
  <c r="P5" s="1"/>
  <c r="L5"/>
  <c r="N5" s="1"/>
  <c r="V36"/>
  <c r="X36" s="1"/>
  <c r="O38" i="34"/>
  <c r="P38" s="1"/>
  <c r="V34" i="28"/>
  <c r="X34" s="1"/>
  <c r="O36" i="34"/>
  <c r="P36" s="1"/>
  <c r="O9" i="28"/>
  <c r="P9" s="1"/>
  <c r="C33" i="6" s="1"/>
  <c r="T10" i="34"/>
  <c r="J3" i="22"/>
  <c r="E31" i="28"/>
  <c r="I55"/>
  <c r="H61"/>
  <c r="G61"/>
  <c r="L33"/>
  <c r="N33" s="1"/>
  <c r="I35" i="34"/>
  <c r="J35" s="1"/>
  <c r="O33" i="28" s="1"/>
  <c r="P33" s="1"/>
  <c r="L19"/>
  <c r="N19" s="1"/>
  <c r="I21" i="34"/>
  <c r="J21" s="1"/>
  <c r="O19" i="28" s="1"/>
  <c r="P19" s="1"/>
  <c r="I31"/>
  <c r="I37" s="1"/>
  <c r="C93" s="1"/>
  <c r="G37"/>
  <c r="B30" i="18"/>
  <c r="C29"/>
  <c r="G23"/>
  <c r="E23" s="1"/>
  <c r="H23"/>
  <c r="D24" s="1"/>
  <c r="H19" i="20"/>
  <c r="H23"/>
  <c r="L14"/>
  <c r="J15"/>
  <c r="H31" i="14" l="1"/>
  <c r="H20"/>
  <c r="F43" i="3"/>
  <c r="Q10" i="12"/>
  <c r="V10" i="3"/>
  <c r="I43" i="28" s="1"/>
  <c r="J16" i="19"/>
  <c r="C11" i="22" s="1"/>
  <c r="R10" i="12"/>
  <c r="G43" i="3"/>
  <c r="H37"/>
  <c r="H43" s="1"/>
  <c r="B71" i="6"/>
  <c r="H43" i="28"/>
  <c r="T13" i="3"/>
  <c r="M10" i="14"/>
  <c r="T12" i="3"/>
  <c r="H30" i="14"/>
  <c r="B58" i="6"/>
  <c r="F39" i="19"/>
  <c r="F40" s="1"/>
  <c r="G7"/>
  <c r="G6"/>
  <c r="G5"/>
  <c r="G24" i="31"/>
  <c r="P12" i="12"/>
  <c r="R12"/>
  <c r="R10" i="27"/>
  <c r="B84" i="6"/>
  <c r="D76"/>
  <c r="D84" s="1"/>
  <c r="D71"/>
  <c r="AH9" i="34"/>
  <c r="P59" i="28"/>
  <c r="Q59" s="1"/>
  <c r="T24" i="34"/>
  <c r="AF22" i="28" s="1"/>
  <c r="AH22" s="1"/>
  <c r="T37" i="34"/>
  <c r="AF35" i="28" s="1"/>
  <c r="AH35" s="1"/>
  <c r="AH10" i="34"/>
  <c r="T38"/>
  <c r="AF36" i="28" s="1"/>
  <c r="AH36" s="1"/>
  <c r="P60"/>
  <c r="Q60" s="1"/>
  <c r="T25" i="34"/>
  <c r="AF23" i="28" s="1"/>
  <c r="AH23" s="1"/>
  <c r="AH8" i="34"/>
  <c r="T36"/>
  <c r="AF34" i="28" s="1"/>
  <c r="AH34" s="1"/>
  <c r="P58"/>
  <c r="Q58" s="1"/>
  <c r="T23" i="34"/>
  <c r="AF21" i="28" s="1"/>
  <c r="AH21" s="1"/>
  <c r="V4" i="27"/>
  <c r="AF5" i="34"/>
  <c r="AA11"/>
  <c r="V5" i="27"/>
  <c r="X5" s="1"/>
  <c r="AB6" i="34" s="1"/>
  <c r="AF6"/>
  <c r="V6" i="27"/>
  <c r="X6" s="1"/>
  <c r="AB7" i="34" s="1"/>
  <c r="AF7"/>
  <c r="H63" i="28"/>
  <c r="B4" i="22"/>
  <c r="Y36" i="28"/>
  <c r="Z36" s="1"/>
  <c r="R38" i="34"/>
  <c r="S38" s="1"/>
  <c r="Y35" i="28"/>
  <c r="Z35" s="1"/>
  <c r="R37" i="34"/>
  <c r="S37" s="1"/>
  <c r="Y23" i="28"/>
  <c r="Z23" s="1"/>
  <c r="R25" i="34"/>
  <c r="S25" s="1"/>
  <c r="Y34" i="28"/>
  <c r="Z34" s="1"/>
  <c r="R36" i="34"/>
  <c r="S36" s="1"/>
  <c r="Y22" i="28"/>
  <c r="Z22" s="1"/>
  <c r="R24" i="34"/>
  <c r="S24" s="1"/>
  <c r="Y21" i="28"/>
  <c r="Z21" s="1"/>
  <c r="R23" i="34"/>
  <c r="S23" s="1"/>
  <c r="C14" i="14"/>
  <c r="D21" s="1"/>
  <c r="B44" i="3"/>
  <c r="I14" i="14"/>
  <c r="J21" s="1"/>
  <c r="E44" i="3"/>
  <c r="H21" i="14"/>
  <c r="H28"/>
  <c r="B91" i="28"/>
  <c r="C34" i="19"/>
  <c r="E22" i="14" s="1"/>
  <c r="B34" i="19"/>
  <c r="T7" i="34"/>
  <c r="U7" s="1"/>
  <c r="D33" i="19"/>
  <c r="D24"/>
  <c r="C3" i="22"/>
  <c r="D3" s="1"/>
  <c r="C4"/>
  <c r="D6"/>
  <c r="D4" s="1"/>
  <c r="D16" i="19"/>
  <c r="C9" i="22"/>
  <c r="C30" i="6"/>
  <c r="F23" i="27"/>
  <c r="F31" i="20"/>
  <c r="F33" s="1"/>
  <c r="E44" i="28"/>
  <c r="E45"/>
  <c r="E46"/>
  <c r="T10" i="27"/>
  <c r="F31" i="28"/>
  <c r="Q31"/>
  <c r="K39" i="34"/>
  <c r="N31" i="28"/>
  <c r="N37" s="1"/>
  <c r="D93" s="1"/>
  <c r="L37"/>
  <c r="K10" i="14"/>
  <c r="G6" i="36" s="1"/>
  <c r="R13" i="3"/>
  <c r="N3" i="22"/>
  <c r="O3" s="1"/>
  <c r="R12" i="3"/>
  <c r="M3" i="22"/>
  <c r="C75" i="28"/>
  <c r="E7" i="22"/>
  <c r="F7" s="1"/>
  <c r="G7" s="1"/>
  <c r="Q18" i="28"/>
  <c r="K26" i="34"/>
  <c r="K28" s="1"/>
  <c r="Q19" i="28"/>
  <c r="S19" s="1"/>
  <c r="L21" i="34"/>
  <c r="M21" s="1"/>
  <c r="T19" i="28" s="1"/>
  <c r="U19" s="1"/>
  <c r="N18"/>
  <c r="N24" s="1"/>
  <c r="D92" s="1"/>
  <c r="L24"/>
  <c r="Q33"/>
  <c r="S33" s="1"/>
  <c r="L35" i="34"/>
  <c r="M35" s="1"/>
  <c r="T33" i="28" s="1"/>
  <c r="U33" s="1"/>
  <c r="U9" i="34"/>
  <c r="Q8" i="28"/>
  <c r="S8" s="1"/>
  <c r="E7" i="19"/>
  <c r="D23" s="1"/>
  <c r="E15"/>
  <c r="D30" s="1"/>
  <c r="F27" i="10"/>
  <c r="I13" i="11"/>
  <c r="I15" s="1"/>
  <c r="I61" i="28"/>
  <c r="C10" i="22"/>
  <c r="E8"/>
  <c r="C74" i="28"/>
  <c r="K55"/>
  <c r="J61"/>
  <c r="C5" i="6"/>
  <c r="Q32" i="28"/>
  <c r="S32" s="1"/>
  <c r="L34" i="34"/>
  <c r="M34" s="1"/>
  <c r="T32" i="28" s="1"/>
  <c r="U32" s="1"/>
  <c r="E12" i="23"/>
  <c r="D13"/>
  <c r="D28" i="14"/>
  <c r="X11" i="34"/>
  <c r="T6"/>
  <c r="Q20" i="28"/>
  <c r="S20" s="1"/>
  <c r="L22" i="34"/>
  <c r="M22" s="1"/>
  <c r="T20" i="28" s="1"/>
  <c r="U20" s="1"/>
  <c r="O5" i="34"/>
  <c r="J4" i="28"/>
  <c r="K11" i="34"/>
  <c r="K13" s="1"/>
  <c r="D47" i="28"/>
  <c r="B72"/>
  <c r="G20" i="34"/>
  <c r="N33"/>
  <c r="N20"/>
  <c r="L55" i="28"/>
  <c r="W11" i="34"/>
  <c r="G25" i="10" s="1"/>
  <c r="N21" i="34"/>
  <c r="L56" i="28"/>
  <c r="M56" s="1"/>
  <c r="N34" i="34"/>
  <c r="U10"/>
  <c r="Q9" i="28"/>
  <c r="S9" s="1"/>
  <c r="C29" i="6"/>
  <c r="J13" i="11"/>
  <c r="J15" s="1"/>
  <c r="G27" i="10"/>
  <c r="U8" i="34"/>
  <c r="Q7" i="28"/>
  <c r="S7" s="1"/>
  <c r="J33" i="34"/>
  <c r="L57" i="28"/>
  <c r="M57" s="1"/>
  <c r="N22" i="34"/>
  <c r="N35"/>
  <c r="F18" i="28"/>
  <c r="I4"/>
  <c r="G10"/>
  <c r="J30" i="14"/>
  <c r="J28"/>
  <c r="J20"/>
  <c r="J31" i="28"/>
  <c r="C40" i="23"/>
  <c r="H24" i="18"/>
  <c r="D25" s="1"/>
  <c r="G24"/>
  <c r="E24" s="1"/>
  <c r="C30"/>
  <c r="J19" i="20"/>
  <c r="J23"/>
  <c r="L15"/>
  <c r="V12" i="3" l="1"/>
  <c r="O10" i="14"/>
  <c r="I6" i="36" s="1"/>
  <c r="F76" i="6"/>
  <c r="G76" s="1"/>
  <c r="D20" i="14"/>
  <c r="D31"/>
  <c r="H44" i="28"/>
  <c r="H3" i="19"/>
  <c r="H45" i="28"/>
  <c r="H46"/>
  <c r="M14" i="14"/>
  <c r="H6" i="36"/>
  <c r="G23" i="31"/>
  <c r="I3" i="19"/>
  <c r="I46" i="28"/>
  <c r="I44"/>
  <c r="I45"/>
  <c r="AC6" i="34"/>
  <c r="Q34"/>
  <c r="AA32" i="28" s="1"/>
  <c r="AC32" s="1"/>
  <c r="Q21" i="34"/>
  <c r="AA19" i="28" s="1"/>
  <c r="AC19" s="1"/>
  <c r="N56"/>
  <c r="O56" s="1"/>
  <c r="Z4" i="27"/>
  <c r="AF11" i="34"/>
  <c r="Z6" i="27"/>
  <c r="AB6" s="1"/>
  <c r="AG7" i="34" s="1"/>
  <c r="AC7"/>
  <c r="N57" i="28"/>
  <c r="O57" s="1"/>
  <c r="Q22" i="34"/>
  <c r="AA20" i="28" s="1"/>
  <c r="AC20" s="1"/>
  <c r="Q35" i="34"/>
  <c r="AA33" i="28" s="1"/>
  <c r="AC33" s="1"/>
  <c r="Z5" i="27"/>
  <c r="AB5" s="1"/>
  <c r="AG6" i="34" s="1"/>
  <c r="X4" i="27"/>
  <c r="V10"/>
  <c r="B35" i="19"/>
  <c r="C22" i="14"/>
  <c r="D22" s="1"/>
  <c r="X14" i="34"/>
  <c r="J63" i="28"/>
  <c r="AD21"/>
  <c r="AE21" s="1"/>
  <c r="U23" i="34"/>
  <c r="V23" s="1"/>
  <c r="AI21" i="28" s="1"/>
  <c r="AJ21" s="1"/>
  <c r="AD22"/>
  <c r="AE22" s="1"/>
  <c r="U24" i="34"/>
  <c r="V24" s="1"/>
  <c r="AI22" i="28" s="1"/>
  <c r="AJ22" s="1"/>
  <c r="U36" i="34"/>
  <c r="V36" s="1"/>
  <c r="AI34" i="28" s="1"/>
  <c r="AJ34" s="1"/>
  <c r="AD34"/>
  <c r="AE34" s="1"/>
  <c r="U25" i="34"/>
  <c r="V25" s="1"/>
  <c r="AI23" i="28" s="1"/>
  <c r="AJ23" s="1"/>
  <c r="AD23"/>
  <c r="AE23" s="1"/>
  <c r="AD35"/>
  <c r="AE35" s="1"/>
  <c r="U37" i="34"/>
  <c r="V37" s="1"/>
  <c r="AI35" i="28" s="1"/>
  <c r="AJ35" s="1"/>
  <c r="U38" i="34"/>
  <c r="V38" s="1"/>
  <c r="AI36" i="28" s="1"/>
  <c r="AJ36" s="1"/>
  <c r="AD36"/>
  <c r="AE36" s="1"/>
  <c r="K14" i="14"/>
  <c r="L30" s="1"/>
  <c r="F44" i="3"/>
  <c r="C94" i="28"/>
  <c r="C95" s="1"/>
  <c r="D49"/>
  <c r="J29" i="14"/>
  <c r="J31"/>
  <c r="D30"/>
  <c r="D29"/>
  <c r="C41" i="23"/>
  <c r="Q6" i="28"/>
  <c r="S6" s="1"/>
  <c r="D34" i="19"/>
  <c r="G22" i="14" s="1"/>
  <c r="C35" i="19"/>
  <c r="T6" i="28"/>
  <c r="U6" s="1"/>
  <c r="Y7" i="34"/>
  <c r="Z7" s="1"/>
  <c r="E33" i="19"/>
  <c r="E24"/>
  <c r="D9" i="22"/>
  <c r="C30" i="23"/>
  <c r="E16" i="19"/>
  <c r="E47" i="28"/>
  <c r="F44"/>
  <c r="F45"/>
  <c r="F46"/>
  <c r="E6" i="22"/>
  <c r="I10" i="28"/>
  <c r="O31"/>
  <c r="V18"/>
  <c r="N26" i="34"/>
  <c r="E11" i="22"/>
  <c r="F22" i="14"/>
  <c r="S31" i="28"/>
  <c r="S37" s="1"/>
  <c r="E93" s="1"/>
  <c r="Q37"/>
  <c r="V32"/>
  <c r="X32" s="1"/>
  <c r="O34" i="34"/>
  <c r="P34" s="1"/>
  <c r="K61" i="28"/>
  <c r="S18"/>
  <c r="S24" s="1"/>
  <c r="E92" s="1"/>
  <c r="Q24"/>
  <c r="U6" i="34"/>
  <c r="Q5" i="28"/>
  <c r="S5" s="1"/>
  <c r="K41" i="34"/>
  <c r="V20" i="28"/>
  <c r="X20" s="1"/>
  <c r="O22" i="34"/>
  <c r="P22" s="1"/>
  <c r="F7" i="19"/>
  <c r="E23" s="1"/>
  <c r="F15"/>
  <c r="E30" s="1"/>
  <c r="C11" i="23"/>
  <c r="E13"/>
  <c r="C53"/>
  <c r="E53" s="1"/>
  <c r="F8" i="22"/>
  <c r="G8" s="1"/>
  <c r="T9" i="28"/>
  <c r="U9" s="1"/>
  <c r="C44" i="6" s="1"/>
  <c r="Y10" i="34"/>
  <c r="V31" i="28"/>
  <c r="N39" i="34"/>
  <c r="K4" i="28"/>
  <c r="K10" s="1"/>
  <c r="J10"/>
  <c r="G12" s="1"/>
  <c r="H7" i="22"/>
  <c r="I7" s="1"/>
  <c r="J7" s="1"/>
  <c r="D75" i="28"/>
  <c r="D80" s="1"/>
  <c r="N39"/>
  <c r="K31"/>
  <c r="T7"/>
  <c r="U7" s="1"/>
  <c r="C42" i="6" s="1"/>
  <c r="Y8" i="34"/>
  <c r="P5"/>
  <c r="L4" i="28"/>
  <c r="O11" i="34"/>
  <c r="D18" i="19"/>
  <c r="V33" i="28"/>
  <c r="X33" s="1"/>
  <c r="O35" i="34"/>
  <c r="P35" s="1"/>
  <c r="V19" i="28"/>
  <c r="X19" s="1"/>
  <c r="O21" i="34"/>
  <c r="P21" s="1"/>
  <c r="M55" i="28"/>
  <c r="L61"/>
  <c r="J18"/>
  <c r="I20" i="34"/>
  <c r="C76" i="28"/>
  <c r="C81" s="1"/>
  <c r="E9" i="22"/>
  <c r="H31" i="20"/>
  <c r="H33" s="1"/>
  <c r="D10" i="22"/>
  <c r="T8" i="28"/>
  <c r="U8" s="1"/>
  <c r="C43" i="6" s="1"/>
  <c r="Y9" i="34"/>
  <c r="H8" i="22"/>
  <c r="D74" i="28"/>
  <c r="D79" s="1"/>
  <c r="N26"/>
  <c r="P3" i="22"/>
  <c r="L33" i="34"/>
  <c r="G25" i="18"/>
  <c r="E25" s="1"/>
  <c r="H25"/>
  <c r="D26" s="1"/>
  <c r="D11" i="22"/>
  <c r="L23" i="20"/>
  <c r="L19"/>
  <c r="E40" i="23"/>
  <c r="O14" i="14" l="1"/>
  <c r="L28"/>
  <c r="V6" i="28"/>
  <c r="X6" s="1"/>
  <c r="L21" i="14"/>
  <c r="G23" i="37" s="1"/>
  <c r="G39" i="19"/>
  <c r="G40" s="1"/>
  <c r="H5"/>
  <c r="H6"/>
  <c r="G24" s="1"/>
  <c r="H24" i="31"/>
  <c r="H23" s="1"/>
  <c r="H15" i="19"/>
  <c r="G30" s="1"/>
  <c r="H7"/>
  <c r="G23" s="1"/>
  <c r="H39"/>
  <c r="H40" s="1"/>
  <c r="I5"/>
  <c r="I15"/>
  <c r="H30" s="1"/>
  <c r="I24" i="31"/>
  <c r="I6" i="19"/>
  <c r="H24" s="1"/>
  <c r="I7"/>
  <c r="H23" s="1"/>
  <c r="N28" i="14"/>
  <c r="N20"/>
  <c r="N21"/>
  <c r="H47" i="28"/>
  <c r="I47"/>
  <c r="P28" i="14"/>
  <c r="P20"/>
  <c r="P21"/>
  <c r="AH6" i="34"/>
  <c r="T21"/>
  <c r="AF19" i="28" s="1"/>
  <c r="AH19" s="1"/>
  <c r="T34" i="34"/>
  <c r="AF32" i="28" s="1"/>
  <c r="AH32" s="1"/>
  <c r="P56"/>
  <c r="Q56" s="1"/>
  <c r="AH7" i="34"/>
  <c r="P57" i="28"/>
  <c r="Q57" s="1"/>
  <c r="T35" i="34"/>
  <c r="AF33" i="28" s="1"/>
  <c r="AH33" s="1"/>
  <c r="T22" i="34"/>
  <c r="AF20" i="28" s="1"/>
  <c r="AH20" s="1"/>
  <c r="AB4" i="27"/>
  <c r="Z10"/>
  <c r="L31" i="14"/>
  <c r="P31"/>
  <c r="P29"/>
  <c r="N30"/>
  <c r="P30"/>
  <c r="N31"/>
  <c r="N29"/>
  <c r="X10" i="27"/>
  <c r="AB5" i="34"/>
  <c r="N41"/>
  <c r="L63" i="28"/>
  <c r="Y6"/>
  <c r="Z6" s="1"/>
  <c r="AD7" i="34"/>
  <c r="Y19" i="28"/>
  <c r="Z19" s="1"/>
  <c r="R21" i="34"/>
  <c r="S21" s="1"/>
  <c r="Y33" i="28"/>
  <c r="Z33" s="1"/>
  <c r="R35" i="34"/>
  <c r="S35" s="1"/>
  <c r="Y20" i="28"/>
  <c r="Z20" s="1"/>
  <c r="R22" i="34"/>
  <c r="S22" s="1"/>
  <c r="Y32" i="28"/>
  <c r="Z32" s="1"/>
  <c r="R34" i="34"/>
  <c r="S34" s="1"/>
  <c r="D16" i="23"/>
  <c r="E49" i="28"/>
  <c r="D94"/>
  <c r="D95" s="1"/>
  <c r="C91"/>
  <c r="C97" s="1"/>
  <c r="C62" i="3" s="1"/>
  <c r="L20" i="14"/>
  <c r="L29"/>
  <c r="C41" i="6"/>
  <c r="D35" i="19"/>
  <c r="E34"/>
  <c r="I22" i="14" s="1"/>
  <c r="H9" i="22"/>
  <c r="I9" s="1"/>
  <c r="F33" i="19"/>
  <c r="F24"/>
  <c r="D33" i="23"/>
  <c r="E33" s="1"/>
  <c r="D32"/>
  <c r="E30"/>
  <c r="F16" i="19"/>
  <c r="D76" i="28"/>
  <c r="D81" s="1"/>
  <c r="C17" i="6"/>
  <c r="C24" s="1"/>
  <c r="G44" i="28"/>
  <c r="G45"/>
  <c r="G46"/>
  <c r="J31" i="20"/>
  <c r="J33" s="1"/>
  <c r="F27"/>
  <c r="F29" s="1"/>
  <c r="M33" i="34"/>
  <c r="J20"/>
  <c r="G15" i="19"/>
  <c r="F30" s="1"/>
  <c r="F23"/>
  <c r="X18" i="28"/>
  <c r="X24" s="1"/>
  <c r="V24"/>
  <c r="I8" i="22"/>
  <c r="J8" s="1"/>
  <c r="Z8" i="34"/>
  <c r="V7" i="28"/>
  <c r="X7" s="1"/>
  <c r="F47"/>
  <c r="E94" s="1"/>
  <c r="E95" s="1"/>
  <c r="E11" i="23"/>
  <c r="F11" i="22"/>
  <c r="P31" i="28"/>
  <c r="L31" i="20"/>
  <c r="L33" s="1"/>
  <c r="Z9" i="34"/>
  <c r="V8" i="28"/>
  <c r="X8" s="1"/>
  <c r="F9" i="22"/>
  <c r="K18" i="28"/>
  <c r="N4"/>
  <c r="L10"/>
  <c r="X31"/>
  <c r="X37" s="1"/>
  <c r="V37"/>
  <c r="Z10" i="34"/>
  <c r="V9" i="28"/>
  <c r="X9" s="1"/>
  <c r="N28" i="34"/>
  <c r="C72" i="28"/>
  <c r="M61"/>
  <c r="H11" i="22"/>
  <c r="E18" i="19"/>
  <c r="H22" i="14"/>
  <c r="T5" i="34"/>
  <c r="O4" i="28"/>
  <c r="P11" i="34"/>
  <c r="P13" s="1"/>
  <c r="T5" i="28"/>
  <c r="U5" s="1"/>
  <c r="C40" i="6" s="1"/>
  <c r="Y6" i="34"/>
  <c r="K8" i="22"/>
  <c r="E74" i="28"/>
  <c r="E79" s="1"/>
  <c r="S26"/>
  <c r="K7" i="22"/>
  <c r="L7" s="1"/>
  <c r="M7" s="1"/>
  <c r="E75" i="28"/>
  <c r="E80" s="1"/>
  <c r="S39"/>
  <c r="F6" i="22"/>
  <c r="G6" s="1"/>
  <c r="G4" s="1"/>
  <c r="E4"/>
  <c r="H26" i="18"/>
  <c r="D27" s="1"/>
  <c r="G26"/>
  <c r="E26" s="1"/>
  <c r="D43" i="23"/>
  <c r="E43" s="1"/>
  <c r="E41"/>
  <c r="C53" i="6" l="1"/>
  <c r="I23" i="31"/>
  <c r="G33" i="19"/>
  <c r="G34" s="1"/>
  <c r="H16"/>
  <c r="H94" i="28"/>
  <c r="I49"/>
  <c r="H76"/>
  <c r="G94"/>
  <c r="G76"/>
  <c r="H33" i="19"/>
  <c r="H34" s="1"/>
  <c r="I16"/>
  <c r="AC5" i="34"/>
  <c r="AC11" s="1"/>
  <c r="AC14" s="1"/>
  <c r="N55" i="28"/>
  <c r="Q33" i="34"/>
  <c r="Q20"/>
  <c r="AB11"/>
  <c r="AB10" i="27"/>
  <c r="AG5" i="34"/>
  <c r="F93" i="28"/>
  <c r="F92"/>
  <c r="Y9"/>
  <c r="Z9" s="1"/>
  <c r="AD10" i="34"/>
  <c r="Y8" i="28"/>
  <c r="Z8" s="1"/>
  <c r="AD9" i="34"/>
  <c r="Y7" i="28"/>
  <c r="Z7" s="1"/>
  <c r="C54" i="6" s="1"/>
  <c r="AD8" i="34"/>
  <c r="AE7"/>
  <c r="AA6" i="28"/>
  <c r="AC6" s="1"/>
  <c r="AD32"/>
  <c r="AE32" s="1"/>
  <c r="U34" i="34"/>
  <c r="V34" s="1"/>
  <c r="AI32" i="28" s="1"/>
  <c r="AJ32" s="1"/>
  <c r="U22" i="34"/>
  <c r="V22" s="1"/>
  <c r="AI20" i="28" s="1"/>
  <c r="AJ20" s="1"/>
  <c r="AD20"/>
  <c r="AE20" s="1"/>
  <c r="U35" i="34"/>
  <c r="V35" s="1"/>
  <c r="AI33" i="28" s="1"/>
  <c r="AJ33" s="1"/>
  <c r="AD33"/>
  <c r="AE33" s="1"/>
  <c r="AD19"/>
  <c r="AE19" s="1"/>
  <c r="U21" i="34"/>
  <c r="V21" s="1"/>
  <c r="AI19" i="28" s="1"/>
  <c r="AJ19" s="1"/>
  <c r="F34" i="19"/>
  <c r="K22" i="14" s="1"/>
  <c r="E35" i="19"/>
  <c r="E32" i="23"/>
  <c r="D31"/>
  <c r="E31" s="1"/>
  <c r="G16" i="19"/>
  <c r="G47" i="28"/>
  <c r="H49" s="1"/>
  <c r="G11" i="22"/>
  <c r="J9"/>
  <c r="K11"/>
  <c r="F18" i="19"/>
  <c r="J22" i="14"/>
  <c r="P4" i="28"/>
  <c r="P10" s="1"/>
  <c r="O10"/>
  <c r="K9" i="22"/>
  <c r="E76" i="28"/>
  <c r="E81" s="1"/>
  <c r="F49"/>
  <c r="N8" i="22"/>
  <c r="F74" i="28"/>
  <c r="X26"/>
  <c r="U5" i="34"/>
  <c r="Q4" i="28"/>
  <c r="T11" i="34"/>
  <c r="N7" i="22"/>
  <c r="O7" s="1"/>
  <c r="P7" s="1"/>
  <c r="F75" i="28"/>
  <c r="X39"/>
  <c r="Z6" i="34"/>
  <c r="V5" i="28"/>
  <c r="X5" s="1"/>
  <c r="I11" i="22"/>
  <c r="C78" i="28"/>
  <c r="C77"/>
  <c r="E19" i="14" s="1"/>
  <c r="O18" i="28"/>
  <c r="L20" i="34"/>
  <c r="T31" i="28"/>
  <c r="O33" i="34"/>
  <c r="L8" i="22"/>
  <c r="M8" s="1"/>
  <c r="F4"/>
  <c r="F18" s="1"/>
  <c r="H6"/>
  <c r="N10" i="28"/>
  <c r="G9" i="22"/>
  <c r="C14" i="23"/>
  <c r="E16"/>
  <c r="D31" i="20" s="1"/>
  <c r="H27" i="18"/>
  <c r="D28" s="1"/>
  <c r="G27"/>
  <c r="E27" s="1"/>
  <c r="D42" i="23"/>
  <c r="E42" s="1"/>
  <c r="C55" i="6" l="1"/>
  <c r="H81" i="28"/>
  <c r="I18" i="19"/>
  <c r="H18"/>
  <c r="D33" i="20"/>
  <c r="P32"/>
  <c r="M22" i="14"/>
  <c r="N22" s="1"/>
  <c r="G35" i="19"/>
  <c r="C56" i="6"/>
  <c r="O22" i="14"/>
  <c r="P22" s="1"/>
  <c r="H35" i="19"/>
  <c r="AH5" i="34"/>
  <c r="AH11" s="1"/>
  <c r="AH14" s="1"/>
  <c r="P55" i="28"/>
  <c r="T20" i="34"/>
  <c r="T33"/>
  <c r="AG11"/>
  <c r="AA31" i="28"/>
  <c r="Q39" i="34"/>
  <c r="Q41" s="1"/>
  <c r="AA18" i="28"/>
  <c r="Q26" i="34"/>
  <c r="Q28" s="1"/>
  <c r="O55" i="28"/>
  <c r="O61" s="1"/>
  <c r="N61"/>
  <c r="N63" s="1"/>
  <c r="F79"/>
  <c r="Y5"/>
  <c r="Z5" s="1"/>
  <c r="C52" i="6" s="1"/>
  <c r="AD6" i="34"/>
  <c r="AD6" i="28"/>
  <c r="AE6" s="1"/>
  <c r="C66" i="6" s="1"/>
  <c r="AI7" i="34"/>
  <c r="AA7" i="28"/>
  <c r="AC7" s="1"/>
  <c r="AE8" i="34"/>
  <c r="AE9"/>
  <c r="AA8" i="28"/>
  <c r="AC8" s="1"/>
  <c r="AA9"/>
  <c r="AC9" s="1"/>
  <c r="AE10" i="34"/>
  <c r="E14" i="23"/>
  <c r="F76" i="28"/>
  <c r="G81" s="1"/>
  <c r="F94"/>
  <c r="F95" s="1"/>
  <c r="D91"/>
  <c r="D97" s="1"/>
  <c r="D62" i="3" s="1"/>
  <c r="D72" i="28"/>
  <c r="D78" s="1"/>
  <c r="N9" i="22"/>
  <c r="O9" s="1"/>
  <c r="G49" i="28"/>
  <c r="F35" i="19"/>
  <c r="C28" i="6"/>
  <c r="C35" s="1"/>
  <c r="C15" i="23"/>
  <c r="E15" s="1"/>
  <c r="F19" i="14"/>
  <c r="T4" i="28"/>
  <c r="U11" i="34"/>
  <c r="U13" s="1"/>
  <c r="Y5"/>
  <c r="O8" i="22"/>
  <c r="P8" s="1"/>
  <c r="L11"/>
  <c r="F34" i="21"/>
  <c r="M20" i="34"/>
  <c r="S4" i="28"/>
  <c r="Q10"/>
  <c r="L9" i="22"/>
  <c r="P33" i="34"/>
  <c r="R33" s="1"/>
  <c r="S33" s="1"/>
  <c r="I6" i="22"/>
  <c r="H4"/>
  <c r="P18" i="28"/>
  <c r="G18" i="19"/>
  <c r="N11" i="22"/>
  <c r="L22" i="14"/>
  <c r="F35" i="20"/>
  <c r="F37" s="1"/>
  <c r="F45" s="1"/>
  <c r="F47" s="1"/>
  <c r="U31" i="28"/>
  <c r="J11" i="22"/>
  <c r="G28" i="18"/>
  <c r="E28" s="1"/>
  <c r="H28"/>
  <c r="D29" s="1"/>
  <c r="D77" i="28" l="1"/>
  <c r="G19" i="14" s="1"/>
  <c r="F81" i="28"/>
  <c r="AF18"/>
  <c r="T26" i="34"/>
  <c r="T28" s="1"/>
  <c r="AC18" i="28"/>
  <c r="AC24" s="1"/>
  <c r="AA24"/>
  <c r="AC31"/>
  <c r="AC37" s="1"/>
  <c r="AA37"/>
  <c r="AF31"/>
  <c r="T39" i="34"/>
  <c r="T41" s="1"/>
  <c r="Q55" i="28"/>
  <c r="Q61" s="1"/>
  <c r="P61"/>
  <c r="P63" s="1"/>
  <c r="AD8"/>
  <c r="AE8" s="1"/>
  <c r="C68" i="6" s="1"/>
  <c r="AI9" i="34"/>
  <c r="AD9" i="28"/>
  <c r="AE9" s="1"/>
  <c r="AI10" i="34"/>
  <c r="AD7" i="28"/>
  <c r="AE7" s="1"/>
  <c r="AI8" i="34"/>
  <c r="AJ7"/>
  <c r="AI6" i="28" s="1"/>
  <c r="AJ6" s="1"/>
  <c r="AF6"/>
  <c r="AH6" s="1"/>
  <c r="AA5"/>
  <c r="AC5" s="1"/>
  <c r="AE6" i="34"/>
  <c r="AD31" i="28"/>
  <c r="AE31" s="1"/>
  <c r="U33" i="34"/>
  <c r="V33" s="1"/>
  <c r="AI31" i="28" s="1"/>
  <c r="AJ31" s="1"/>
  <c r="D51" i="23"/>
  <c r="E51" s="1"/>
  <c r="P9" i="22"/>
  <c r="M9"/>
  <c r="H27" i="20"/>
  <c r="H29" s="1"/>
  <c r="T18" i="28"/>
  <c r="O20" i="34"/>
  <c r="U4" i="28"/>
  <c r="U10" s="1"/>
  <c r="T10"/>
  <c r="O11" i="22"/>
  <c r="K6"/>
  <c r="S10" i="28"/>
  <c r="Z5" i="34"/>
  <c r="AD5" s="1"/>
  <c r="V4" i="28"/>
  <c r="Y11" i="34"/>
  <c r="Y31" i="28"/>
  <c r="J6" i="22"/>
  <c r="J4" s="1"/>
  <c r="I4"/>
  <c r="I18" s="1"/>
  <c r="M11"/>
  <c r="H29" i="18"/>
  <c r="D30" s="1"/>
  <c r="H30" s="1"/>
  <c r="G29"/>
  <c r="E29" s="1"/>
  <c r="H19" i="14" l="1"/>
  <c r="AH31" i="28"/>
  <c r="AH37" s="1"/>
  <c r="AF37"/>
  <c r="G93"/>
  <c r="G75"/>
  <c r="G80" s="1"/>
  <c r="AC39"/>
  <c r="G92"/>
  <c r="G74"/>
  <c r="G79" s="1"/>
  <c r="AC26"/>
  <c r="AH18"/>
  <c r="AH24" s="1"/>
  <c r="AF24"/>
  <c r="C67" i="6"/>
  <c r="C69"/>
  <c r="AE5" i="34"/>
  <c r="AA4" i="28"/>
  <c r="AD11" i="34"/>
  <c r="AD5" i="28"/>
  <c r="AE5" s="1"/>
  <c r="C65" i="6" s="1"/>
  <c r="AI6" i="34"/>
  <c r="C79" i="6"/>
  <c r="F79" s="1"/>
  <c r="G79" s="1"/>
  <c r="AF7" i="28"/>
  <c r="AH7" s="1"/>
  <c r="AJ8" i="34"/>
  <c r="AI7" i="28" s="1"/>
  <c r="AJ7" s="1"/>
  <c r="AF9"/>
  <c r="AH9" s="1"/>
  <c r="AJ10" i="34"/>
  <c r="AI9" i="28" s="1"/>
  <c r="AJ9" s="1"/>
  <c r="AF8"/>
  <c r="AH8" s="1"/>
  <c r="AJ9" i="34"/>
  <c r="AI8" i="28" s="1"/>
  <c r="AJ8" s="1"/>
  <c r="E91"/>
  <c r="E97" s="1"/>
  <c r="E62" i="3" s="1"/>
  <c r="H35" i="20"/>
  <c r="H37" s="1"/>
  <c r="H45" s="1"/>
  <c r="H47" s="1"/>
  <c r="L6" i="22"/>
  <c r="K4"/>
  <c r="X4" i="28"/>
  <c r="V10"/>
  <c r="C39" i="6"/>
  <c r="P20" i="34"/>
  <c r="R20" s="1"/>
  <c r="S20" s="1"/>
  <c r="Y4" i="28"/>
  <c r="Z11" i="34"/>
  <c r="H34" i="21"/>
  <c r="Z31" i="28"/>
  <c r="E72"/>
  <c r="P11" i="22"/>
  <c r="U18" i="28"/>
  <c r="G30" i="18"/>
  <c r="G95" i="28" l="1"/>
  <c r="H74"/>
  <c r="H79" s="1"/>
  <c r="H92"/>
  <c r="AH26"/>
  <c r="H93"/>
  <c r="AH39"/>
  <c r="H75"/>
  <c r="H80" s="1"/>
  <c r="AJ6" i="34"/>
  <c r="AI5" i="28" s="1"/>
  <c r="AJ5" s="1"/>
  <c r="AF5"/>
  <c r="AH5" s="1"/>
  <c r="AD4"/>
  <c r="AI5" i="34"/>
  <c r="AE11"/>
  <c r="AE13" s="1"/>
  <c r="C81" i="6"/>
  <c r="F81" s="1"/>
  <c r="G81" s="1"/>
  <c r="C82"/>
  <c r="F82" s="1"/>
  <c r="G82" s="1"/>
  <c r="C80"/>
  <c r="F80" s="1"/>
  <c r="G80" s="1"/>
  <c r="AC4" i="28"/>
  <c r="AA10"/>
  <c r="Z13" i="34"/>
  <c r="AD18" i="28"/>
  <c r="AE18" s="1"/>
  <c r="U20" i="34"/>
  <c r="V20" s="1"/>
  <c r="AI18" i="28" s="1"/>
  <c r="AJ18" s="1"/>
  <c r="J27" i="20"/>
  <c r="J29" s="1"/>
  <c r="Z4" i="28"/>
  <c r="Z10" s="1"/>
  <c r="Y10"/>
  <c r="X10"/>
  <c r="N6" i="22"/>
  <c r="E30" i="18"/>
  <c r="G32"/>
  <c r="G33" s="1"/>
  <c r="Y18" i="28"/>
  <c r="M6" i="22"/>
  <c r="M4" s="1"/>
  <c r="L4"/>
  <c r="L18" s="1"/>
  <c r="C46" i="6"/>
  <c r="E78" i="28"/>
  <c r="E77"/>
  <c r="I19" i="14" s="1"/>
  <c r="H95" i="28" l="1"/>
  <c r="AE4"/>
  <c r="AE10" s="1"/>
  <c r="AD10"/>
  <c r="AC10"/>
  <c r="AF4"/>
  <c r="AJ5" i="34"/>
  <c r="AI11"/>
  <c r="C78" i="6"/>
  <c r="F78" s="1"/>
  <c r="G78" s="1"/>
  <c r="F91" i="28"/>
  <c r="F97" s="1"/>
  <c r="F62" i="3" s="1"/>
  <c r="J35" i="20"/>
  <c r="J37" s="1"/>
  <c r="J45" s="1"/>
  <c r="J47" s="1"/>
  <c r="Z18" i="28"/>
  <c r="O6" i="22"/>
  <c r="P6" s="1"/>
  <c r="P4" s="1"/>
  <c r="N4"/>
  <c r="F72" i="28"/>
  <c r="C51" i="6"/>
  <c r="J19" i="14"/>
  <c r="D38"/>
  <c r="G72" i="28" l="1"/>
  <c r="G77" s="1"/>
  <c r="M19" i="14" s="1"/>
  <c r="G78" i="28"/>
  <c r="G91"/>
  <c r="G97" s="1"/>
  <c r="G62" i="3" s="1"/>
  <c r="AI4" i="28"/>
  <c r="AJ11" i="34"/>
  <c r="AJ13" s="1"/>
  <c r="AH4" i="28"/>
  <c r="AF10"/>
  <c r="C64" i="6"/>
  <c r="C71" s="1"/>
  <c r="N19" i="14"/>
  <c r="J34" i="21"/>
  <c r="L27" i="20"/>
  <c r="L29" s="1"/>
  <c r="C58" i="6"/>
  <c r="F35" i="21"/>
  <c r="F78" i="28"/>
  <c r="F77"/>
  <c r="K19" i="14" s="1"/>
  <c r="O4" i="22"/>
  <c r="O18" s="1"/>
  <c r="AH10" i="28" l="1"/>
  <c r="AJ4"/>
  <c r="AJ10" s="1"/>
  <c r="AI10"/>
  <c r="L35" i="20"/>
  <c r="H35" i="21"/>
  <c r="L19" i="14"/>
  <c r="F38" i="21"/>
  <c r="L34"/>
  <c r="C77" i="6" l="1"/>
  <c r="C84" s="1"/>
  <c r="I84" s="1"/>
  <c r="H72" i="28"/>
  <c r="H78" s="1"/>
  <c r="H91"/>
  <c r="H97" s="1"/>
  <c r="H62" i="3" s="1"/>
  <c r="H38" i="21"/>
  <c r="L37" i="20"/>
  <c r="F40" i="21"/>
  <c r="H77" i="28" l="1"/>
  <c r="O19" i="14" s="1"/>
  <c r="P19" s="1"/>
  <c r="F77" i="6"/>
  <c r="F84" s="1"/>
  <c r="G84" s="1"/>
  <c r="H40" i="21"/>
  <c r="L45" i="20"/>
  <c r="G77" i="6" l="1"/>
  <c r="L47" i="20"/>
  <c r="J35" i="21"/>
  <c r="J38" l="1"/>
  <c r="J40" l="1"/>
  <c r="L35"/>
  <c r="L38" l="1"/>
  <c r="L40" l="1"/>
  <c r="F80" i="28"/>
  <c r="D54"/>
  <c r="E54" s="1"/>
  <c r="E61" s="1"/>
  <c r="B32" i="34"/>
  <c r="C32" s="1"/>
  <c r="D32" s="1"/>
  <c r="B19"/>
  <c r="C19" s="1"/>
  <c r="D19" s="1"/>
  <c r="C25" i="10"/>
  <c r="C27" s="1"/>
  <c r="D61" i="28" l="1"/>
  <c r="F63" s="1"/>
  <c r="E20" i="4"/>
  <c r="E23" s="1"/>
  <c r="C5" s="1"/>
  <c r="G20"/>
  <c r="G23" s="1"/>
  <c r="C7" s="1"/>
  <c r="F20"/>
  <c r="F23" s="1"/>
  <c r="C6" s="1"/>
  <c r="H20"/>
  <c r="H23" s="1"/>
  <c r="C8" s="1"/>
  <c r="D20"/>
  <c r="D23" s="1"/>
  <c r="C4" s="1"/>
  <c r="C20"/>
  <c r="C23" s="1"/>
  <c r="C3" s="1"/>
  <c r="B20"/>
  <c r="B23" s="1"/>
  <c r="C2" s="1"/>
  <c r="B35" i="3"/>
  <c r="C35" s="1"/>
  <c r="D35" s="1"/>
  <c r="E35" s="1"/>
  <c r="F35" s="1"/>
  <c r="G35" s="1"/>
  <c r="H35" s="1"/>
  <c r="H39" i="11"/>
  <c r="I39" s="1"/>
  <c r="H35"/>
  <c r="I35" s="1"/>
  <c r="H38"/>
  <c r="I38" s="1"/>
  <c r="H36"/>
  <c r="I36" s="1"/>
  <c r="H37"/>
  <c r="I37" s="1"/>
  <c r="D26" i="34"/>
  <c r="E17" i="28"/>
  <c r="F19" i="34"/>
  <c r="D39"/>
  <c r="E30" i="28"/>
  <c r="F32" i="34"/>
  <c r="B17" i="28"/>
  <c r="B26" i="34"/>
  <c r="B39"/>
  <c r="B30" i="28"/>
  <c r="C26" i="34"/>
  <c r="C39"/>
  <c r="B7" i="22" s="1"/>
  <c r="C7" l="1"/>
  <c r="D7" s="1"/>
  <c r="B37" i="28"/>
  <c r="D30"/>
  <c r="D37" s="1"/>
  <c r="D28" i="34"/>
  <c r="E28"/>
  <c r="F39"/>
  <c r="G32"/>
  <c r="E24" i="28"/>
  <c r="F17"/>
  <c r="F24" s="1"/>
  <c r="E2" i="4"/>
  <c r="C3" i="27"/>
  <c r="E4" i="4"/>
  <c r="C5" i="27"/>
  <c r="E6" i="4"/>
  <c r="C7" i="27"/>
  <c r="E5" i="4"/>
  <c r="C6" i="27"/>
  <c r="B8" i="22"/>
  <c r="C17" i="23"/>
  <c r="D41" i="34"/>
  <c r="E41"/>
  <c r="B24" i="28"/>
  <c r="G26" s="1"/>
  <c r="D17"/>
  <c r="F30"/>
  <c r="F37" s="1"/>
  <c r="E37"/>
  <c r="F26" i="34"/>
  <c r="G19"/>
  <c r="E3" i="4"/>
  <c r="C4" i="27"/>
  <c r="E8" i="4"/>
  <c r="C9" i="27"/>
  <c r="E7" i="4"/>
  <c r="C8" i="27"/>
  <c r="C8" i="22" l="1"/>
  <c r="C18" i="23" s="1"/>
  <c r="E8" i="27"/>
  <c r="G8"/>
  <c r="E9"/>
  <c r="G9"/>
  <c r="E4"/>
  <c r="G4"/>
  <c r="G26" i="34"/>
  <c r="G28" s="1"/>
  <c r="J17" i="28"/>
  <c r="I19" i="34"/>
  <c r="C4" i="6"/>
  <c r="D24" i="28"/>
  <c r="E17" i="23"/>
  <c r="E6" i="27"/>
  <c r="G6"/>
  <c r="E7"/>
  <c r="G7"/>
  <c r="E5"/>
  <c r="G5"/>
  <c r="E3"/>
  <c r="G3"/>
  <c r="G39" i="34"/>
  <c r="G41" s="1"/>
  <c r="J30" i="28"/>
  <c r="I32" i="34"/>
  <c r="B93" i="28"/>
  <c r="B75"/>
  <c r="C80" s="1"/>
  <c r="I39"/>
  <c r="E9" i="4"/>
  <c r="C22" i="23"/>
  <c r="D8" i="22" l="1"/>
  <c r="A22" s="1"/>
  <c r="B22" s="1"/>
  <c r="C18"/>
  <c r="D23" i="23"/>
  <c r="E23" s="1"/>
  <c r="E22"/>
  <c r="I39" i="34"/>
  <c r="J32"/>
  <c r="E4" i="6"/>
  <c r="E10" i="27"/>
  <c r="E6" i="6"/>
  <c r="F6" s="1"/>
  <c r="G6" s="1"/>
  <c r="D27" i="4" s="1"/>
  <c r="E8" i="6"/>
  <c r="F8" s="1"/>
  <c r="G8" s="1"/>
  <c r="F27" i="4" s="1"/>
  <c r="E7" i="6"/>
  <c r="F7" s="1"/>
  <c r="G7" s="1"/>
  <c r="E27" i="4" s="1"/>
  <c r="I26" i="28"/>
  <c r="B92"/>
  <c r="B95" s="1"/>
  <c r="B97" s="1"/>
  <c r="B62" i="3" s="1"/>
  <c r="B74" i="28"/>
  <c r="I26" i="34"/>
  <c r="J19"/>
  <c r="E5" i="6"/>
  <c r="F5" s="1"/>
  <c r="G5" s="1"/>
  <c r="C27" i="4" s="1"/>
  <c r="E10" i="6"/>
  <c r="F10" s="1"/>
  <c r="G10" s="1"/>
  <c r="H27" i="4" s="1"/>
  <c r="E9" i="6"/>
  <c r="F9" s="1"/>
  <c r="G9" s="1"/>
  <c r="G27" i="4" s="1"/>
  <c r="D54" i="23"/>
  <c r="E18"/>
  <c r="J37" i="28"/>
  <c r="K30"/>
  <c r="K37" s="1"/>
  <c r="I3" i="27"/>
  <c r="K3"/>
  <c r="I5"/>
  <c r="K5"/>
  <c r="I7"/>
  <c r="K7"/>
  <c r="I6"/>
  <c r="K6"/>
  <c r="F4" i="6"/>
  <c r="C12"/>
  <c r="J24" i="28"/>
  <c r="K17"/>
  <c r="K24" s="1"/>
  <c r="K4" i="27"/>
  <c r="I4"/>
  <c r="I9"/>
  <c r="K9"/>
  <c r="I8"/>
  <c r="K8"/>
  <c r="D19" i="23"/>
  <c r="M8" i="27" l="1"/>
  <c r="O8"/>
  <c r="M9"/>
  <c r="O9"/>
  <c r="O6"/>
  <c r="M6"/>
  <c r="E30" i="6" s="1"/>
  <c r="F30" s="1"/>
  <c r="G30" s="1"/>
  <c r="M7" i="27"/>
  <c r="E31" i="6" s="1"/>
  <c r="F31" s="1"/>
  <c r="G31" s="1"/>
  <c r="O7" i="27"/>
  <c r="M5"/>
  <c r="O5"/>
  <c r="K10"/>
  <c r="M3"/>
  <c r="O3"/>
  <c r="E19" i="23"/>
  <c r="M4" i="27"/>
  <c r="O4"/>
  <c r="G4" i="6"/>
  <c r="B27" i="4" s="1"/>
  <c r="F12" i="6"/>
  <c r="G12" s="1"/>
  <c r="E27"/>
  <c r="I10" i="27"/>
  <c r="I12" s="1"/>
  <c r="E18" i="14" s="1"/>
  <c r="C55" i="23"/>
  <c r="E55" s="1"/>
  <c r="E54"/>
  <c r="D35" i="20" s="1"/>
  <c r="P33" s="1"/>
  <c r="D21" i="23"/>
  <c r="E12" i="27"/>
  <c r="C18" i="14" s="1"/>
  <c r="E32" i="6"/>
  <c r="F32" s="1"/>
  <c r="G32" s="1"/>
  <c r="E33"/>
  <c r="F33" s="1"/>
  <c r="G33" s="1"/>
  <c r="E29"/>
  <c r="F29" s="1"/>
  <c r="G29" s="1"/>
  <c r="E21"/>
  <c r="F21" s="1"/>
  <c r="G21" s="1"/>
  <c r="E19"/>
  <c r="F19" s="1"/>
  <c r="G19" s="1"/>
  <c r="E20"/>
  <c r="F20" s="1"/>
  <c r="G20" s="1"/>
  <c r="E18"/>
  <c r="F18" s="1"/>
  <c r="G18" s="1"/>
  <c r="E12"/>
  <c r="I12" s="1"/>
  <c r="J26" i="34"/>
  <c r="J28" s="1"/>
  <c r="O17" i="28"/>
  <c r="L19" i="34"/>
  <c r="B77" i="28"/>
  <c r="C19" i="14" s="1"/>
  <c r="D19" s="1"/>
  <c r="C79" i="28"/>
  <c r="J39" i="34"/>
  <c r="J41" s="1"/>
  <c r="O30" i="28"/>
  <c r="L32" i="34"/>
  <c r="E22" i="6"/>
  <c r="F22" s="1"/>
  <c r="G22" s="1"/>
  <c r="E17"/>
  <c r="F17" s="1"/>
  <c r="G17" s="1"/>
  <c r="E16"/>
  <c r="O10" i="27" l="1"/>
  <c r="S3"/>
  <c r="Q3"/>
  <c r="S6"/>
  <c r="Q6"/>
  <c r="E41" i="6" s="1"/>
  <c r="F41" s="1"/>
  <c r="G41" s="1"/>
  <c r="D37" i="20"/>
  <c r="O37" i="28"/>
  <c r="P30"/>
  <c r="P37" s="1"/>
  <c r="L26" i="34"/>
  <c r="M19"/>
  <c r="C4" i="37"/>
  <c r="F18" i="14"/>
  <c r="E24"/>
  <c r="E21" i="23"/>
  <c r="C20"/>
  <c r="F27" i="6"/>
  <c r="E24"/>
  <c r="I24" s="1"/>
  <c r="F16"/>
  <c r="L39" i="34"/>
  <c r="M32"/>
  <c r="O24" i="28"/>
  <c r="P17"/>
  <c r="P24" s="1"/>
  <c r="D18" i="14"/>
  <c r="B4" i="37"/>
  <c r="C24" i="14"/>
  <c r="S4" i="27"/>
  <c r="Q4"/>
  <c r="E39" i="6" s="1"/>
  <c r="F39" s="1"/>
  <c r="G39" s="1"/>
  <c r="E24" i="23"/>
  <c r="D34" i="21" s="1"/>
  <c r="P34" i="20" s="1"/>
  <c r="D26" i="23"/>
  <c r="D25" s="1"/>
  <c r="E25" s="1"/>
  <c r="E38" i="6"/>
  <c r="M10" i="27"/>
  <c r="M12" s="1"/>
  <c r="G18" i="14" s="1"/>
  <c r="S5" i="27"/>
  <c r="Q5"/>
  <c r="S7"/>
  <c r="Q7"/>
  <c r="E42" i="6" s="1"/>
  <c r="F42" s="1"/>
  <c r="G42" s="1"/>
  <c r="S9" i="27"/>
  <c r="Q9"/>
  <c r="S8"/>
  <c r="Q8"/>
  <c r="E43" i="6" s="1"/>
  <c r="F43" s="1"/>
  <c r="G43" s="1"/>
  <c r="E28"/>
  <c r="F28" s="1"/>
  <c r="G28" s="1"/>
  <c r="E35" l="1"/>
  <c r="I35" s="1"/>
  <c r="D24" i="14"/>
  <c r="C26"/>
  <c r="M26" i="34"/>
  <c r="M28" s="1"/>
  <c r="T17" i="28"/>
  <c r="O19" i="34"/>
  <c r="E26" i="23"/>
  <c r="C27"/>
  <c r="W4" i="27"/>
  <c r="U4"/>
  <c r="M39" i="34"/>
  <c r="T30" i="28"/>
  <c r="O32" i="34"/>
  <c r="F24" i="6"/>
  <c r="G24" s="1"/>
  <c r="G16"/>
  <c r="G27"/>
  <c r="F35"/>
  <c r="G35" s="1"/>
  <c r="E20" i="23"/>
  <c r="D27" i="20" s="1"/>
  <c r="P31" s="1"/>
  <c r="F24" i="14"/>
  <c r="E26"/>
  <c r="Q10" i="27"/>
  <c r="E51" i="6"/>
  <c r="F51" s="1"/>
  <c r="G51" s="1"/>
  <c r="M41" i="34"/>
  <c r="Q12" i="27"/>
  <c r="I18" i="14" s="1"/>
  <c r="E44" i="6"/>
  <c r="F44" s="1"/>
  <c r="G44" s="1"/>
  <c r="E40"/>
  <c r="F40" s="1"/>
  <c r="G40" s="1"/>
  <c r="H18" i="14"/>
  <c r="D4" i="37"/>
  <c r="G24" i="14"/>
  <c r="W8" i="27"/>
  <c r="U8"/>
  <c r="W9"/>
  <c r="U9"/>
  <c r="W7"/>
  <c r="U7"/>
  <c r="W5"/>
  <c r="U5"/>
  <c r="F38" i="6"/>
  <c r="U6" i="27"/>
  <c r="W6"/>
  <c r="S10"/>
  <c r="W3"/>
  <c r="U3"/>
  <c r="E50" i="6" s="1"/>
  <c r="F50" l="1"/>
  <c r="AA6" i="27"/>
  <c r="AC6" s="1"/>
  <c r="Y6"/>
  <c r="D29" i="20"/>
  <c r="U30" i="28"/>
  <c r="U37" s="1"/>
  <c r="T37"/>
  <c r="E27" i="23"/>
  <c r="D28"/>
  <c r="O26" i="34"/>
  <c r="P19"/>
  <c r="W10" i="27"/>
  <c r="AA3"/>
  <c r="Y3"/>
  <c r="G38" i="6"/>
  <c r="F46"/>
  <c r="G46" s="1"/>
  <c r="G26" i="14"/>
  <c r="H24"/>
  <c r="U10" i="27"/>
  <c r="U12" s="1"/>
  <c r="K18" i="14" s="1"/>
  <c r="Y5" i="27"/>
  <c r="E65" i="6" s="1"/>
  <c r="F65" s="1"/>
  <c r="G65" s="1"/>
  <c r="AA5" i="27"/>
  <c r="AC5" s="1"/>
  <c r="AA7"/>
  <c r="AC7" s="1"/>
  <c r="Y7"/>
  <c r="E67" i="6" s="1"/>
  <c r="F67" s="1"/>
  <c r="G67" s="1"/>
  <c r="Y9" i="27"/>
  <c r="E69" i="6" s="1"/>
  <c r="F69" s="1"/>
  <c r="G69" s="1"/>
  <c r="AA9" i="27"/>
  <c r="AC9" s="1"/>
  <c r="AA8"/>
  <c r="AC8" s="1"/>
  <c r="Y8"/>
  <c r="E68" i="6" s="1"/>
  <c r="F68" s="1"/>
  <c r="G68" s="1"/>
  <c r="E4" i="37"/>
  <c r="J18" i="14"/>
  <c r="I24"/>
  <c r="C5" i="37"/>
  <c r="F26" i="14"/>
  <c r="D4" i="36"/>
  <c r="E33" i="14"/>
  <c r="O39" i="34"/>
  <c r="P32"/>
  <c r="AA4" i="27"/>
  <c r="AC4" s="1"/>
  <c r="Y4"/>
  <c r="E64" i="6" s="1"/>
  <c r="F64" s="1"/>
  <c r="G64" s="1"/>
  <c r="U17" i="28"/>
  <c r="U24" s="1"/>
  <c r="T24"/>
  <c r="D26" i="14"/>
  <c r="B5" i="37"/>
  <c r="C4" i="36"/>
  <c r="C33" i="14"/>
  <c r="E52" i="6"/>
  <c r="F52" s="1"/>
  <c r="G52" s="1"/>
  <c r="E56"/>
  <c r="F56" s="1"/>
  <c r="G56" s="1"/>
  <c r="E66"/>
  <c r="F66" s="1"/>
  <c r="G66" s="1"/>
  <c r="E46"/>
  <c r="I46" s="1"/>
  <c r="E53"/>
  <c r="F53" s="1"/>
  <c r="G53" s="1"/>
  <c r="E54"/>
  <c r="F54" s="1"/>
  <c r="G54" s="1"/>
  <c r="E55"/>
  <c r="F55" s="1"/>
  <c r="G55" s="1"/>
  <c r="P26" i="34" l="1"/>
  <c r="P28" s="1"/>
  <c r="R19"/>
  <c r="Y17" i="28"/>
  <c r="E28" i="23"/>
  <c r="D43" i="20" s="1"/>
  <c r="Y10" i="27"/>
  <c r="Y12" s="1"/>
  <c r="M18" i="14" s="1"/>
  <c r="E58" i="6"/>
  <c r="I58" s="1"/>
  <c r="F4" i="37"/>
  <c r="L18" i="14"/>
  <c r="G4" i="37" s="1"/>
  <c r="K24" i="14"/>
  <c r="D33"/>
  <c r="C35"/>
  <c r="C37" s="1"/>
  <c r="P39" i="34"/>
  <c r="P41" s="1"/>
  <c r="Y30" i="28"/>
  <c r="R32" i="34"/>
  <c r="F33" i="14"/>
  <c r="E35"/>
  <c r="F35" s="1"/>
  <c r="J24"/>
  <c r="I26"/>
  <c r="D5" i="37"/>
  <c r="H26" i="14"/>
  <c r="E4" i="36"/>
  <c r="G33" i="14"/>
  <c r="AC3" i="27"/>
  <c r="AC10" s="1"/>
  <c r="AA10"/>
  <c r="G50" i="6"/>
  <c r="F58"/>
  <c r="G58" s="1"/>
  <c r="E63"/>
  <c r="E71" l="1"/>
  <c r="I71" s="1"/>
  <c r="F63"/>
  <c r="H33" i="14"/>
  <c r="G35"/>
  <c r="H35" s="1"/>
  <c r="E5" i="37"/>
  <c r="F4" i="36"/>
  <c r="I33" i="14"/>
  <c r="J26"/>
  <c r="Y37" i="28"/>
  <c r="Z30"/>
  <c r="Z37" s="1"/>
  <c r="B22" i="37"/>
  <c r="C5" i="36"/>
  <c r="C7" s="1"/>
  <c r="D37" i="14"/>
  <c r="B6" i="37" s="1"/>
  <c r="D19" i="21"/>
  <c r="C38" i="31"/>
  <c r="C31" i="15" s="1"/>
  <c r="C39" i="14"/>
  <c r="H4" i="37"/>
  <c r="N18" i="14"/>
  <c r="M24"/>
  <c r="R39" i="34"/>
  <c r="S32"/>
  <c r="D35" i="14"/>
  <c r="C50" i="23"/>
  <c r="L24" i="14"/>
  <c r="K26"/>
  <c r="Y24" i="28"/>
  <c r="Z17"/>
  <c r="Z24" s="1"/>
  <c r="E37" i="14"/>
  <c r="AC12" i="27"/>
  <c r="O18" i="14" s="1"/>
  <c r="D45" i="20"/>
  <c r="R26" i="34"/>
  <c r="S19"/>
  <c r="C36" i="15" l="1"/>
  <c r="G37" i="14"/>
  <c r="E38" i="31" s="1"/>
  <c r="E31" i="15" s="1"/>
  <c r="S26" i="34"/>
  <c r="U19"/>
  <c r="AD17" i="28"/>
  <c r="D47" i="20"/>
  <c r="P18" i="14"/>
  <c r="O24"/>
  <c r="C40"/>
  <c r="C43" s="1"/>
  <c r="D43" s="1"/>
  <c r="C10" i="31"/>
  <c r="D21" i="21"/>
  <c r="F11"/>
  <c r="D5" i="36"/>
  <c r="D7" s="1"/>
  <c r="F19" i="21"/>
  <c r="F37" i="14"/>
  <c r="C6" i="37" s="1"/>
  <c r="C22"/>
  <c r="D38" i="31"/>
  <c r="D31" i="15" s="1"/>
  <c r="E39" i="14"/>
  <c r="L26"/>
  <c r="G5" i="37" s="1"/>
  <c r="G4" i="36"/>
  <c r="F5" i="37"/>
  <c r="K33" i="14"/>
  <c r="E50" i="23"/>
  <c r="D52"/>
  <c r="C59"/>
  <c r="AD30" i="28"/>
  <c r="S39" i="34"/>
  <c r="S41" s="1"/>
  <c r="U32"/>
  <c r="N24" i="14"/>
  <c r="M26"/>
  <c r="H4" i="36" s="1"/>
  <c r="J33" i="14"/>
  <c r="I35"/>
  <c r="J35" s="1"/>
  <c r="G63" i="6"/>
  <c r="F71"/>
  <c r="G71" s="1"/>
  <c r="S28" i="34"/>
  <c r="C37" i="15" l="1"/>
  <c r="C13"/>
  <c r="C43" s="1"/>
  <c r="C47" s="1"/>
  <c r="D4" i="17" s="1"/>
  <c r="G39" i="14"/>
  <c r="G43" s="1"/>
  <c r="H43" s="1"/>
  <c r="H19" i="21"/>
  <c r="D22" i="37"/>
  <c r="E5" i="36"/>
  <c r="E7" s="1"/>
  <c r="H37" i="14"/>
  <c r="D6" i="37" s="1"/>
  <c r="I37" i="14"/>
  <c r="J37" s="1"/>
  <c r="E6" i="37" s="1"/>
  <c r="H5"/>
  <c r="N26" i="14"/>
  <c r="M33"/>
  <c r="U39" i="34"/>
  <c r="V32"/>
  <c r="AD37" i="28"/>
  <c r="AE30"/>
  <c r="AE37" s="1"/>
  <c r="E52" i="23"/>
  <c r="D35" i="21" s="1"/>
  <c r="P35" i="20" s="1"/>
  <c r="D59" i="23"/>
  <c r="D61" s="1"/>
  <c r="K35" i="14"/>
  <c r="L35" s="1"/>
  <c r="L33"/>
  <c r="D10" i="31"/>
  <c r="E40" i="14"/>
  <c r="G40" s="1"/>
  <c r="E43"/>
  <c r="F43" s="1"/>
  <c r="E10" i="31"/>
  <c r="F17" i="21"/>
  <c r="F21" s="1"/>
  <c r="H11"/>
  <c r="P24" i="14"/>
  <c r="O26"/>
  <c r="I4" i="36" s="1"/>
  <c r="M40" i="20"/>
  <c r="K17"/>
  <c r="I39"/>
  <c r="M9"/>
  <c r="K11"/>
  <c r="I21"/>
  <c r="K31"/>
  <c r="K29"/>
  <c r="M33"/>
  <c r="M13"/>
  <c r="I23"/>
  <c r="M19"/>
  <c r="E21"/>
  <c r="E31"/>
  <c r="E19"/>
  <c r="M36"/>
  <c r="M10"/>
  <c r="I32"/>
  <c r="G36"/>
  <c r="G9"/>
  <c r="G37"/>
  <c r="I27"/>
  <c r="K33"/>
  <c r="I45"/>
  <c r="I15"/>
  <c r="I19"/>
  <c r="E47"/>
  <c r="E15"/>
  <c r="E23"/>
  <c r="M37"/>
  <c r="K39"/>
  <c r="I11"/>
  <c r="M32"/>
  <c r="G40"/>
  <c r="G21"/>
  <c r="G11"/>
  <c r="K21"/>
  <c r="I29"/>
  <c r="K45"/>
  <c r="I14"/>
  <c r="K15"/>
  <c r="K47"/>
  <c r="E10"/>
  <c r="E17"/>
  <c r="M41"/>
  <c r="K32"/>
  <c r="G39"/>
  <c r="M17"/>
  <c r="G28"/>
  <c r="G33"/>
  <c r="I43"/>
  <c r="G27"/>
  <c r="K37"/>
  <c r="I13"/>
  <c r="G23"/>
  <c r="M15"/>
  <c r="E36"/>
  <c r="E13"/>
  <c r="M27"/>
  <c r="M45"/>
  <c r="I36"/>
  <c r="K9"/>
  <c r="K28"/>
  <c r="G32"/>
  <c r="G41"/>
  <c r="G29"/>
  <c r="I35"/>
  <c r="G45"/>
  <c r="G13"/>
  <c r="K14"/>
  <c r="K19"/>
  <c r="E40"/>
  <c r="E11"/>
  <c r="E9"/>
  <c r="I41"/>
  <c r="I28"/>
  <c r="M39"/>
  <c r="K10"/>
  <c r="G10"/>
  <c r="M21"/>
  <c r="K27"/>
  <c r="I37"/>
  <c r="K43"/>
  <c r="G14"/>
  <c r="M14"/>
  <c r="K23"/>
  <c r="E28"/>
  <c r="M29"/>
  <c r="K41"/>
  <c r="M28"/>
  <c r="K40"/>
  <c r="I17"/>
  <c r="G17"/>
  <c r="I31"/>
  <c r="G43"/>
  <c r="G31"/>
  <c r="M31"/>
  <c r="K13"/>
  <c r="G19"/>
  <c r="I47"/>
  <c r="E32"/>
  <c r="E39"/>
  <c r="E33"/>
  <c r="I40"/>
  <c r="M11"/>
  <c r="K36"/>
  <c r="I9"/>
  <c r="I10"/>
  <c r="G35"/>
  <c r="K35"/>
  <c r="I33"/>
  <c r="M43"/>
  <c r="G15"/>
  <c r="G47"/>
  <c r="M23"/>
  <c r="E14"/>
  <c r="E41"/>
  <c r="M35"/>
  <c r="M47"/>
  <c r="E35"/>
  <c r="E37"/>
  <c r="E27"/>
  <c r="E29"/>
  <c r="E43"/>
  <c r="AE17" i="28"/>
  <c r="AE24" s="1"/>
  <c r="AD24"/>
  <c r="U26" i="34"/>
  <c r="V19"/>
  <c r="E45" i="20"/>
  <c r="J19" i="21" l="1"/>
  <c r="K37" i="14"/>
  <c r="G5" i="36" s="1"/>
  <c r="G7" s="1"/>
  <c r="I39" i="14"/>
  <c r="F10" i="31" s="1"/>
  <c r="F5" i="36"/>
  <c r="F7" s="1"/>
  <c r="E22" i="37"/>
  <c r="F38" i="31"/>
  <c r="F31" i="15" s="1"/>
  <c r="F42" i="21"/>
  <c r="P26" i="14"/>
  <c r="O33"/>
  <c r="F22" i="37"/>
  <c r="G38" i="31"/>
  <c r="G31" i="15" s="1"/>
  <c r="AI17" i="28"/>
  <c r="V26" i="34"/>
  <c r="V28" s="1"/>
  <c r="H17" i="21"/>
  <c r="J11"/>
  <c r="AI30" i="28"/>
  <c r="V39" i="34"/>
  <c r="V41" s="1"/>
  <c r="N33" i="14"/>
  <c r="M35"/>
  <c r="D38" i="21"/>
  <c r="C31" i="11"/>
  <c r="I40" i="14" l="1"/>
  <c r="C32" i="11"/>
  <c r="B11" i="15" s="1"/>
  <c r="B41" s="1"/>
  <c r="I43" i="14"/>
  <c r="J43" s="1"/>
  <c r="K39"/>
  <c r="K43" s="1"/>
  <c r="L43" s="1"/>
  <c r="L19" i="21"/>
  <c r="L37" i="14"/>
  <c r="G22" i="37" s="1"/>
  <c r="D40" i="21"/>
  <c r="J17"/>
  <c r="L11"/>
  <c r="H21"/>
  <c r="AI24" i="28"/>
  <c r="AJ17"/>
  <c r="AJ24" s="1"/>
  <c r="F31" i="11"/>
  <c r="C32" i="31"/>
  <c r="B32"/>
  <c r="B44" s="1"/>
  <c r="B45" s="1"/>
  <c r="AI37" i="28"/>
  <c r="AJ30"/>
  <c r="AJ37" s="1"/>
  <c r="O35" i="14"/>
  <c r="P35" s="1"/>
  <c r="P33"/>
  <c r="F49" i="20"/>
  <c r="F44" i="21"/>
  <c r="M37" i="14"/>
  <c r="H5" i="36" s="1"/>
  <c r="H7" s="1"/>
  <c r="D31" i="11" l="1"/>
  <c r="G10" i="31"/>
  <c r="K40" i="14"/>
  <c r="F6" i="37"/>
  <c r="D32" i="11"/>
  <c r="D27"/>
  <c r="D24"/>
  <c r="D23"/>
  <c r="D26"/>
  <c r="D29"/>
  <c r="D25"/>
  <c r="D28"/>
  <c r="D30"/>
  <c r="D22"/>
  <c r="D26" i="31"/>
  <c r="F26"/>
  <c r="H26"/>
  <c r="C26"/>
  <c r="E26"/>
  <c r="G26"/>
  <c r="I26"/>
  <c r="C4" i="17"/>
  <c r="B37" i="31"/>
  <c r="B30" i="15"/>
  <c r="O37" i="14"/>
  <c r="G6" i="37"/>
  <c r="N37" i="14"/>
  <c r="H6" i="37" s="1"/>
  <c r="H22"/>
  <c r="H38" i="31"/>
  <c r="H31" i="15" s="1"/>
  <c r="M39" i="14"/>
  <c r="B7" i="25"/>
  <c r="B12" i="37"/>
  <c r="B21" s="1"/>
  <c r="C33" i="31"/>
  <c r="H42" i="21"/>
  <c r="J21"/>
  <c r="L17"/>
  <c r="D42"/>
  <c r="M11" s="1"/>
  <c r="I38" i="31" l="1"/>
  <c r="I31" i="15" s="1"/>
  <c r="I5" i="36"/>
  <c r="I7" s="1"/>
  <c r="P37" i="14"/>
  <c r="I28" i="31"/>
  <c r="I12" s="1"/>
  <c r="I32"/>
  <c r="E32"/>
  <c r="E28"/>
  <c r="E12" s="1"/>
  <c r="E18" s="1"/>
  <c r="H32"/>
  <c r="H28"/>
  <c r="H12" s="1"/>
  <c r="D32"/>
  <c r="D33" s="1"/>
  <c r="D40" s="1"/>
  <c r="C49" s="1"/>
  <c r="D28"/>
  <c r="D12" s="1"/>
  <c r="D18" s="1"/>
  <c r="G32"/>
  <c r="G28"/>
  <c r="G12" s="1"/>
  <c r="G18" s="1"/>
  <c r="C12"/>
  <c r="C18" s="1"/>
  <c r="C20" s="1"/>
  <c r="C28"/>
  <c r="F28"/>
  <c r="F12" s="1"/>
  <c r="F18" s="1"/>
  <c r="F32"/>
  <c r="B24" i="37"/>
  <c r="B26" s="1"/>
  <c r="C40" i="31"/>
  <c r="O39" i="14"/>
  <c r="O43" s="1"/>
  <c r="P43" s="1"/>
  <c r="E40" i="21"/>
  <c r="G28"/>
  <c r="G13"/>
  <c r="M9"/>
  <c r="E28"/>
  <c r="E13"/>
  <c r="I34"/>
  <c r="M14"/>
  <c r="K15"/>
  <c r="M30"/>
  <c r="D44"/>
  <c r="E14"/>
  <c r="K36"/>
  <c r="E27"/>
  <c r="M36"/>
  <c r="G38"/>
  <c r="G40"/>
  <c r="M35"/>
  <c r="M27"/>
  <c r="G27"/>
  <c r="E30"/>
  <c r="I10"/>
  <c r="G34"/>
  <c r="G14"/>
  <c r="E11"/>
  <c r="M12"/>
  <c r="I14"/>
  <c r="I15"/>
  <c r="K28"/>
  <c r="E9"/>
  <c r="I9"/>
  <c r="K30"/>
  <c r="E10"/>
  <c r="I38"/>
  <c r="K38"/>
  <c r="M40"/>
  <c r="I36"/>
  <c r="K10"/>
  <c r="K14"/>
  <c r="I12"/>
  <c r="K12"/>
  <c r="E36"/>
  <c r="K13"/>
  <c r="E12"/>
  <c r="E42"/>
  <c r="I30"/>
  <c r="G15"/>
  <c r="G30"/>
  <c r="G10"/>
  <c r="E15"/>
  <c r="K9"/>
  <c r="I35"/>
  <c r="K35"/>
  <c r="M38"/>
  <c r="G9"/>
  <c r="E17"/>
  <c r="K34"/>
  <c r="M13"/>
  <c r="I13"/>
  <c r="M28"/>
  <c r="G36"/>
  <c r="G35"/>
  <c r="M15"/>
  <c r="I27"/>
  <c r="K27"/>
  <c r="G12"/>
  <c r="M10"/>
  <c r="I28"/>
  <c r="M34"/>
  <c r="I40"/>
  <c r="K40"/>
  <c r="E34"/>
  <c r="E19"/>
  <c r="D49" i="20"/>
  <c r="G19" i="21"/>
  <c r="E21"/>
  <c r="G11"/>
  <c r="I19"/>
  <c r="I11"/>
  <c r="E35"/>
  <c r="K19"/>
  <c r="G17"/>
  <c r="G21"/>
  <c r="I17"/>
  <c r="E38"/>
  <c r="K11"/>
  <c r="M19"/>
  <c r="G42"/>
  <c r="M17"/>
  <c r="L21"/>
  <c r="J42"/>
  <c r="K21"/>
  <c r="H49" i="20"/>
  <c r="I42" i="21"/>
  <c r="H44"/>
  <c r="I10" i="31"/>
  <c r="M43" i="14"/>
  <c r="N43" s="1"/>
  <c r="M40"/>
  <c r="H10" i="31"/>
  <c r="K17" i="21"/>
  <c r="I21"/>
  <c r="C44" i="31" l="1"/>
  <c r="B4" i="15" s="1"/>
  <c r="B5" s="1"/>
  <c r="B49" i="31"/>
  <c r="H18"/>
  <c r="D44"/>
  <c r="D33" i="15"/>
  <c r="O40" i="14"/>
  <c r="C24" i="37"/>
  <c r="C26" s="1"/>
  <c r="G33" i="31"/>
  <c r="G40" s="1"/>
  <c r="F49" s="1"/>
  <c r="I43"/>
  <c r="I33"/>
  <c r="H33"/>
  <c r="E33"/>
  <c r="I18"/>
  <c r="F33"/>
  <c r="D20"/>
  <c r="E20" s="1"/>
  <c r="F20" s="1"/>
  <c r="G20" s="1"/>
  <c r="H20" s="1"/>
  <c r="M21" i="21"/>
  <c r="L42"/>
  <c r="J49" i="20"/>
  <c r="K42" i="21"/>
  <c r="J44"/>
  <c r="C45" i="31" l="1"/>
  <c r="C46" s="1"/>
  <c r="B13" i="37"/>
  <c r="B15" s="1"/>
  <c r="B16" s="1"/>
  <c r="I35" i="15"/>
  <c r="I15"/>
  <c r="I45" s="1"/>
  <c r="D36"/>
  <c r="I20" i="31"/>
  <c r="C4" i="15"/>
  <c r="C24" s="1"/>
  <c r="C13" i="37"/>
  <c r="C15" s="1"/>
  <c r="G44" i="31"/>
  <c r="F13" i="37" s="1"/>
  <c r="F15" s="1"/>
  <c r="G33" i="15"/>
  <c r="G36" s="1"/>
  <c r="G13" s="1"/>
  <c r="G43" s="1"/>
  <c r="G47" s="1"/>
  <c r="H4" i="17" s="1"/>
  <c r="F24" i="37"/>
  <c r="F26" s="1"/>
  <c r="F40" i="31"/>
  <c r="E49" s="1"/>
  <c r="E24" i="37"/>
  <c r="E26" s="1"/>
  <c r="G24"/>
  <c r="G26" s="1"/>
  <c r="H40" i="31"/>
  <c r="G49" s="1"/>
  <c r="E40"/>
  <c r="D49" s="1"/>
  <c r="D24" i="37"/>
  <c r="D26" s="1"/>
  <c r="I40" i="31"/>
  <c r="H49" s="1"/>
  <c r="H24" i="37"/>
  <c r="H26" s="1"/>
  <c r="D5" i="17"/>
  <c r="B24" i="15"/>
  <c r="L49" i="20"/>
  <c r="M42" i="21"/>
  <c r="L44"/>
  <c r="D45" i="31" l="1"/>
  <c r="C16" i="37"/>
  <c r="D37" i="15"/>
  <c r="D13"/>
  <c r="C5"/>
  <c r="D17" s="1"/>
  <c r="F4"/>
  <c r="F24" s="1"/>
  <c r="F44" i="31"/>
  <c r="E13" i="37" s="1"/>
  <c r="E15" s="1"/>
  <c r="F33" i="15"/>
  <c r="F36" s="1"/>
  <c r="F13" s="1"/>
  <c r="F43" s="1"/>
  <c r="F47" s="1"/>
  <c r="G4" i="17" s="1"/>
  <c r="I44" i="31"/>
  <c r="H13" i="37" s="1"/>
  <c r="H15" s="1"/>
  <c r="I33" i="15"/>
  <c r="I36" s="1"/>
  <c r="E44" i="31"/>
  <c r="E45" s="1"/>
  <c r="F45" s="1"/>
  <c r="G45" s="1"/>
  <c r="E33" i="15"/>
  <c r="H44" i="31"/>
  <c r="G13" i="37" s="1"/>
  <c r="G15" s="1"/>
  <c r="H33" i="15"/>
  <c r="H36" s="1"/>
  <c r="H13" s="1"/>
  <c r="H43" s="1"/>
  <c r="H47" s="1"/>
  <c r="I4" i="17" s="1"/>
  <c r="E4" i="15"/>
  <c r="C17"/>
  <c r="C18" s="1"/>
  <c r="B6"/>
  <c r="I13" l="1"/>
  <c r="I43" s="1"/>
  <c r="I47" s="1"/>
  <c r="J4" i="17" s="1"/>
  <c r="D43" i="15"/>
  <c r="D47" s="1"/>
  <c r="E4" i="17" s="1"/>
  <c r="E5" s="1"/>
  <c r="C6" i="15"/>
  <c r="E36"/>
  <c r="F5"/>
  <c r="G17" s="1"/>
  <c r="D4"/>
  <c r="D5" s="1"/>
  <c r="E17" s="1"/>
  <c r="D13" i="37"/>
  <c r="D15" s="1"/>
  <c r="D16" s="1"/>
  <c r="E16" s="1"/>
  <c r="F16" s="1"/>
  <c r="G16" s="1"/>
  <c r="H16" s="1"/>
  <c r="G4" i="15"/>
  <c r="G5" s="1"/>
  <c r="H17" s="1"/>
  <c r="H45" i="31"/>
  <c r="I45" s="1"/>
  <c r="H4" i="15"/>
  <c r="H5" s="1"/>
  <c r="I17" s="1"/>
  <c r="E24"/>
  <c r="E5"/>
  <c r="F17" s="1"/>
  <c r="D18"/>
  <c r="D11" i="17" l="1"/>
  <c r="E37" i="15"/>
  <c r="F37" s="1"/>
  <c r="G37" s="1"/>
  <c r="H37" s="1"/>
  <c r="I37" s="1"/>
  <c r="E13"/>
  <c r="D24"/>
  <c r="D6"/>
  <c r="E6" s="1"/>
  <c r="F6" s="1"/>
  <c r="G6" s="1"/>
  <c r="H6" s="1"/>
  <c r="G24"/>
  <c r="H24"/>
  <c r="E18"/>
  <c r="F18" s="1"/>
  <c r="G18" s="1"/>
  <c r="H18" s="1"/>
  <c r="I18" s="1"/>
  <c r="J18" s="1"/>
  <c r="J24"/>
  <c r="J25" s="1"/>
  <c r="E43" l="1"/>
  <c r="E47" s="1"/>
  <c r="F4" i="17" s="1"/>
  <c r="D17" s="1"/>
  <c r="F5" l="1"/>
  <c r="G5" s="1"/>
  <c r="H5" s="1"/>
  <c r="I5" s="1"/>
  <c r="J5" s="1"/>
  <c r="D15"/>
  <c r="D9"/>
  <c r="D7"/>
</calcChain>
</file>

<file path=xl/comments1.xml><?xml version="1.0" encoding="utf-8"?>
<comments xmlns="http://schemas.openxmlformats.org/spreadsheetml/2006/main">
  <authors>
    <author>Mohamed Masmoudi</author>
  </authors>
  <commentList>
    <comment ref="G38" authorId="0">
      <text>
        <r>
          <rPr>
            <b/>
            <sz val="9"/>
            <color indexed="81"/>
            <rFont val="Tahoma"/>
            <family val="2"/>
          </rPr>
          <t>Mohamed Masmoudi:</t>
        </r>
        <r>
          <rPr>
            <sz val="9"/>
            <color indexed="81"/>
            <rFont val="Tahoma"/>
            <family val="2"/>
          </rPr>
          <t xml:space="preserve">
2machines (50KG) et uen machine (100KG)</t>
        </r>
      </text>
    </comment>
  </commentList>
</comments>
</file>

<file path=xl/sharedStrings.xml><?xml version="1.0" encoding="utf-8"?>
<sst xmlns="http://schemas.openxmlformats.org/spreadsheetml/2006/main" count="1487" uniqueCount="546">
  <si>
    <t xml:space="preserve">Désignation de la rubrique </t>
  </si>
  <si>
    <t>QT produites  en Kg</t>
  </si>
  <si>
    <t>QT - sachet</t>
  </si>
  <si>
    <t>PX UNIT</t>
  </si>
  <si>
    <t>CA Global mensuelle</t>
  </si>
  <si>
    <t>PF Mais</t>
  </si>
  <si>
    <t>PF Cacahuète</t>
  </si>
  <si>
    <t>PF Pois chiche</t>
  </si>
  <si>
    <t>PF Autres (noisette , pistche , acajou , amande)</t>
  </si>
  <si>
    <t>PF Mais aromatisés</t>
  </si>
  <si>
    <t>PF Cacahuète aromatisés</t>
  </si>
  <si>
    <t>PF Pois chiche aromatisés</t>
  </si>
  <si>
    <t>QT</t>
  </si>
  <si>
    <t>PU</t>
  </si>
  <si>
    <t>Valeurs</t>
  </si>
  <si>
    <t>MP MAIS</t>
  </si>
  <si>
    <t>MP Cacahuète</t>
  </si>
  <si>
    <t>Pois chiche</t>
  </si>
  <si>
    <t>Vente</t>
  </si>
  <si>
    <t>Emballages</t>
  </si>
  <si>
    <t>Aromes</t>
  </si>
  <si>
    <t>Mais</t>
  </si>
  <si>
    <t>Cacahuète</t>
  </si>
  <si>
    <t>Amande</t>
  </si>
  <si>
    <t>Pistache</t>
  </si>
  <si>
    <t>Production</t>
  </si>
  <si>
    <t>Hypothèse : St de PF égal à 10J de CA</t>
  </si>
  <si>
    <t>Achats MP</t>
  </si>
  <si>
    <t>Hypothèse : St de MP égal à 1 mois d'achats</t>
  </si>
  <si>
    <t>Achats Aromes</t>
  </si>
  <si>
    <t>Hypothèse : St de Aromes égal à 1 mois d'achats</t>
  </si>
  <si>
    <t>Achats Emb</t>
  </si>
  <si>
    <t>Hypothèse : St Emb égal à 1 mois d'achats</t>
  </si>
  <si>
    <t>Gaz</t>
  </si>
  <si>
    <t>Electricité</t>
  </si>
  <si>
    <t>Eau</t>
  </si>
  <si>
    <t>Stock PF</t>
  </si>
  <si>
    <t>10j de CA</t>
  </si>
  <si>
    <t>Stock MP</t>
  </si>
  <si>
    <t>1 mois d'achats</t>
  </si>
  <si>
    <t>Stock Aromes</t>
  </si>
  <si>
    <t>Stock Emb</t>
  </si>
  <si>
    <t>QT annuelle en Kg</t>
  </si>
  <si>
    <t>PF pistche</t>
  </si>
  <si>
    <t>PF acajou</t>
  </si>
  <si>
    <t xml:space="preserve">PF noisette </t>
  </si>
  <si>
    <t>Cout de Production</t>
  </si>
  <si>
    <t>Achat MP</t>
  </si>
  <si>
    <t>Main d'œuvre</t>
  </si>
  <si>
    <t>Amortissement machine</t>
  </si>
  <si>
    <t>Achat emballage</t>
  </si>
  <si>
    <t xml:space="preserve">MP noisette </t>
  </si>
  <si>
    <t>MP pistche</t>
  </si>
  <si>
    <t>MP acajou</t>
  </si>
  <si>
    <t>MAIS</t>
  </si>
  <si>
    <t xml:space="preserve"> noisette </t>
  </si>
  <si>
    <t xml:space="preserve"> pistche</t>
  </si>
  <si>
    <t>acajou</t>
  </si>
  <si>
    <t xml:space="preserve">Achat d'approvisionnement </t>
  </si>
  <si>
    <t>Total</t>
  </si>
  <si>
    <t>Capacité nominale du système de production</t>
  </si>
  <si>
    <t>Désignation</t>
  </si>
  <si>
    <t>Nombre de sachet de 100 g/min</t>
  </si>
  <si>
    <t>Nombre de minute/jours</t>
  </si>
  <si>
    <t>Production moyenne journalière</t>
  </si>
  <si>
    <t>Capacité nominale mensuelle</t>
  </si>
  <si>
    <t>Capacité de Production moyenne forme coussin</t>
  </si>
  <si>
    <t>Capacité de Production moyenne forme carré</t>
  </si>
  <si>
    <t>Rubrique</t>
  </si>
  <si>
    <t>Délai</t>
  </si>
  <si>
    <t xml:space="preserve">Délai de règlement Créances Clients </t>
  </si>
  <si>
    <t>30 jours</t>
  </si>
  <si>
    <t>Délai de règlement dettes fournisseurs</t>
  </si>
  <si>
    <t>90 jours</t>
  </si>
  <si>
    <t>1 kg Cacahuète necessite 60g/arome</t>
  </si>
  <si>
    <t>Une tonne de MP Nécessite 300 Dinars d'arome</t>
  </si>
  <si>
    <t>un sachet consomme 4 ou 5 gramme d'emballage(à 8 dinars le kg d'emballage , l'emballage de 100 gramme coute 32 millimes)</t>
  </si>
  <si>
    <t>Chaque carton comporte 36 Pièces de 100g</t>
  </si>
  <si>
    <t>le carton coute 0,600 TND</t>
  </si>
  <si>
    <t>Politique de vente c'est le porte à porte et se concentre essentiellement sur les grandes villes à savoir Tunis; Sousse et Sfax,</t>
  </si>
  <si>
    <t>Les achats MP emballage sont éffectués sur le marché local</t>
  </si>
  <si>
    <t>Les produits qui seront réalisés sont les produits salés</t>
  </si>
  <si>
    <t>le taux de déchet max 1%</t>
  </si>
  <si>
    <t>Prix d'achat MP</t>
  </si>
  <si>
    <t>P unitaire/Kg</t>
  </si>
  <si>
    <t>Acajou</t>
  </si>
  <si>
    <t>Noisette</t>
  </si>
  <si>
    <t>Poids</t>
  </si>
  <si>
    <t>Poid Brut en g</t>
  </si>
  <si>
    <t>Poid Net en g</t>
  </si>
  <si>
    <t>QT produites mensuelle  en Kg</t>
  </si>
  <si>
    <t>QT - sachet de 100 g</t>
  </si>
  <si>
    <t>PF Amande</t>
  </si>
  <si>
    <t>MP Amande</t>
  </si>
  <si>
    <t>Fonction</t>
  </si>
  <si>
    <t>Qualification</t>
  </si>
  <si>
    <t>Salaire brut</t>
  </si>
  <si>
    <t>Effectif</t>
  </si>
  <si>
    <t xml:space="preserve">Masse salariale </t>
  </si>
  <si>
    <t>%</t>
  </si>
  <si>
    <t>Gérant</t>
  </si>
  <si>
    <t>Non imputable</t>
  </si>
  <si>
    <t>Expérience exigée</t>
  </si>
  <si>
    <t>Imputable</t>
  </si>
  <si>
    <t>Gardien</t>
  </si>
  <si>
    <t>Ouvriers</t>
  </si>
  <si>
    <t>Technicien</t>
  </si>
  <si>
    <t>CNSS</t>
  </si>
  <si>
    <t>TOTAL</t>
  </si>
  <si>
    <t>Production annuelle</t>
  </si>
  <si>
    <t>Main d'œuvre par Kg</t>
  </si>
  <si>
    <t xml:space="preserve">Taux </t>
  </si>
  <si>
    <t>Matériel de transport</t>
  </si>
  <si>
    <t>PF amande</t>
  </si>
  <si>
    <t>Q st final</t>
  </si>
  <si>
    <t>Valeur stock final</t>
  </si>
  <si>
    <t>QT st Final</t>
  </si>
  <si>
    <t>Valeur St Final</t>
  </si>
  <si>
    <t>QT achetée</t>
  </si>
  <si>
    <t>Total Achat</t>
  </si>
  <si>
    <t>QT St Final</t>
  </si>
  <si>
    <t>Valeurs St Final</t>
  </si>
  <si>
    <t>Chiffre d'affaire</t>
  </si>
  <si>
    <t>Consommations matière</t>
  </si>
  <si>
    <t>Consommations Autres approv</t>
  </si>
  <si>
    <t>Marge Brut</t>
  </si>
  <si>
    <t>Taux de marge</t>
  </si>
  <si>
    <t>Produits</t>
  </si>
  <si>
    <t>Prix de vente unitaire</t>
  </si>
  <si>
    <t>Marge/cout matière unit</t>
  </si>
  <si>
    <t>Qt carton ( en Pcs)</t>
  </si>
  <si>
    <t>Prix Unit carton</t>
  </si>
  <si>
    <t>Montant des achats cartons</t>
  </si>
  <si>
    <t>Taux de déchets</t>
  </si>
  <si>
    <t>Valeurs déchets</t>
  </si>
  <si>
    <t>Valeur SF net dechets</t>
  </si>
  <si>
    <t>Dechets(1%)</t>
  </si>
  <si>
    <t>ETAT DE RESULTAT</t>
  </si>
  <si>
    <t>Modèle autorisé</t>
  </si>
  <si>
    <t>(Exprimé en Dinars Tunisien)</t>
  </si>
  <si>
    <t>Exercice de 12 mois clos le 31 décembre</t>
  </si>
  <si>
    <t>Etat de résultat</t>
  </si>
  <si>
    <t>Notes</t>
  </si>
  <si>
    <t>% Rev</t>
  </si>
  <si>
    <t>Produits d'exploitation</t>
  </si>
  <si>
    <t>Revenus</t>
  </si>
  <si>
    <t>Autres produits d'exploitation</t>
  </si>
  <si>
    <t>Production immobilisée</t>
  </si>
  <si>
    <t>Total des produits d'exploitation</t>
  </si>
  <si>
    <t>Charges d'exploitation</t>
  </si>
  <si>
    <t>Variations des stocks produits finis &amp; en-cours</t>
  </si>
  <si>
    <t>Achats consommés</t>
  </si>
  <si>
    <t>Charges de personnel</t>
  </si>
  <si>
    <t>Dotations aux amortissements et aux  provisions</t>
  </si>
  <si>
    <t>Autres charges d'exploitation</t>
  </si>
  <si>
    <t>Total des charges d'exploitation</t>
  </si>
  <si>
    <t>Résultat d'exploitation</t>
  </si>
  <si>
    <t>Charges financières nettes</t>
  </si>
  <si>
    <t>Produits des placements</t>
  </si>
  <si>
    <t>Autres gains ordinaires</t>
  </si>
  <si>
    <t>Autres pertes ordinaires</t>
  </si>
  <si>
    <t>Résultat des activités ordinaires avant impôt</t>
  </si>
  <si>
    <t>Impôt sur les bénéfices</t>
  </si>
  <si>
    <t>Résultat des activités ordinaires après impôt</t>
  </si>
  <si>
    <t>Cash Flow</t>
  </si>
  <si>
    <t>Cash Flow cumulée</t>
  </si>
  <si>
    <t>Année</t>
  </si>
  <si>
    <t>Cash Flow Brut (actualisé au taux de 10%)</t>
  </si>
  <si>
    <t>CASH FLOW ACTUALISE CUMULE</t>
  </si>
  <si>
    <t>Frais Financiers</t>
  </si>
  <si>
    <t>V0</t>
  </si>
  <si>
    <t>Taux</t>
  </si>
  <si>
    <t>N</t>
  </si>
  <si>
    <t>SOMME DES INTERETS</t>
  </si>
  <si>
    <t>RENTABILITE ECONOMIQUE DE L'INVESTISSEMENT</t>
  </si>
  <si>
    <t>Périodes</t>
  </si>
  <si>
    <t>FLUX NETS DE TRESORERIE</t>
  </si>
  <si>
    <t>Cumul</t>
  </si>
  <si>
    <t>Taux Interne de Rentabilité (TIR)</t>
  </si>
  <si>
    <t xml:space="preserve"> =&gt;</t>
  </si>
  <si>
    <t>Valeur Actuelle Nette au taux de 10 %</t>
  </si>
  <si>
    <t>Délai de Récupération du Capital Investi (DRCI)</t>
  </si>
  <si>
    <t>ans</t>
  </si>
  <si>
    <t>mois</t>
  </si>
  <si>
    <t>jours</t>
  </si>
  <si>
    <t>Taux de Rendement Comptable (TRC)</t>
  </si>
  <si>
    <t>Indice de Profitabilité (IP)</t>
  </si>
  <si>
    <t>N°.</t>
  </si>
  <si>
    <t xml:space="preserve"> Date de remboursement</t>
  </si>
  <si>
    <t>Solde initial</t>
  </si>
  <si>
    <t>Remboursement</t>
  </si>
  <si>
    <t>Principal</t>
  </si>
  <si>
    <t>Interêt</t>
  </si>
  <si>
    <t>Solde final</t>
  </si>
  <si>
    <t>Étiquettes de lignes</t>
  </si>
  <si>
    <t>Total général</t>
  </si>
  <si>
    <t>Somme de Interêt</t>
  </si>
  <si>
    <t>Remboursement Crédit LT</t>
  </si>
  <si>
    <t>Somme de Principal</t>
  </si>
  <si>
    <t>Trésorerie cumulé</t>
  </si>
  <si>
    <t>Transport sur vente</t>
  </si>
  <si>
    <t>Hypothèse retenue</t>
  </si>
  <si>
    <t>Superette</t>
  </si>
  <si>
    <t>Hotels</t>
  </si>
  <si>
    <t>Prix de vente revendeur en sachet</t>
  </si>
  <si>
    <t>Ristourne 10%</t>
  </si>
  <si>
    <t>Dépenses publicitaire</t>
  </si>
  <si>
    <t>3,5% du chiffre d'affaire</t>
  </si>
  <si>
    <t>Simulation</t>
  </si>
  <si>
    <t xml:space="preserve">BILAN </t>
  </si>
  <si>
    <t>Solde arrêté au</t>
  </si>
  <si>
    <t xml:space="preserve">Actifs  </t>
  </si>
  <si>
    <t>Actifs non courants</t>
  </si>
  <si>
    <t>Immobilisations incorporelles</t>
  </si>
  <si>
    <t>Moins : amortissements des immobilisations incorporelles</t>
  </si>
  <si>
    <t>Immobilisations Incorporelles Nettes</t>
  </si>
  <si>
    <t>Immobilisations corporelles</t>
  </si>
  <si>
    <t>Moins : amortissements des immobilisations corporelles</t>
  </si>
  <si>
    <t>Immobilisations Corporelles Nettes</t>
  </si>
  <si>
    <t>Immobilisations financières</t>
  </si>
  <si>
    <t>Total Actifs Immobilisés</t>
  </si>
  <si>
    <t>Autres actifs non courants</t>
  </si>
  <si>
    <t>Total des actifs non courants</t>
  </si>
  <si>
    <t>Actifs courants</t>
  </si>
  <si>
    <t>Stocks</t>
  </si>
  <si>
    <t>Moins : provisions sur stocks</t>
  </si>
  <si>
    <t>Clients et comptes rattachés</t>
  </si>
  <si>
    <t>Moins : provisions sur créances</t>
  </si>
  <si>
    <t>Autres actifs courants</t>
  </si>
  <si>
    <t>Moins : provisions autres actifs courants</t>
  </si>
  <si>
    <t>Placements et autres actifs financiers</t>
  </si>
  <si>
    <t>Moins : provisions autres actifs financiers</t>
  </si>
  <si>
    <t>Liquidités et équivalents de liquidités</t>
  </si>
  <si>
    <t>Total des actifs courants</t>
  </si>
  <si>
    <t>Total des actifs</t>
  </si>
  <si>
    <t>Check</t>
  </si>
  <si>
    <t>Capitaux propres et passifs</t>
  </si>
  <si>
    <t>Capitaux propres</t>
  </si>
  <si>
    <t>Capital social</t>
  </si>
  <si>
    <t>Réserves légales</t>
  </si>
  <si>
    <t>Résultats reportés</t>
  </si>
  <si>
    <t>Modifications comptables</t>
  </si>
  <si>
    <t>Autres capitaux propres</t>
  </si>
  <si>
    <t>Réserves spéciales de réévaluation</t>
  </si>
  <si>
    <t>Subventions d'investissement</t>
  </si>
  <si>
    <t>Total des capitaux propres avant résulat</t>
  </si>
  <si>
    <t>Résultat de l'exercice</t>
  </si>
  <si>
    <t>Total des capitaux propres avant affectation</t>
  </si>
  <si>
    <t>Passifs</t>
  </si>
  <si>
    <t>Passifs non courants</t>
  </si>
  <si>
    <t>Provisions pour risques et charges</t>
  </si>
  <si>
    <t>Emprunts et dettes assimilées</t>
  </si>
  <si>
    <t>Total des passifs non courants</t>
  </si>
  <si>
    <t>Passifs courants</t>
  </si>
  <si>
    <t>Fournisseurs et comptes rattachés</t>
  </si>
  <si>
    <t>Autres passifs courants</t>
  </si>
  <si>
    <t>Concours bancaires et autres passifs financiers</t>
  </si>
  <si>
    <t>Total des passifs courants</t>
  </si>
  <si>
    <t>Total des passifs</t>
  </si>
  <si>
    <t>Total des capitaux propres et passifs</t>
  </si>
  <si>
    <t>31 Déc. 2016</t>
  </si>
  <si>
    <t>HT</t>
  </si>
  <si>
    <t>TVA</t>
  </si>
  <si>
    <t>TTC</t>
  </si>
  <si>
    <t>Achat Aromes</t>
  </si>
  <si>
    <t>Consommables</t>
  </si>
  <si>
    <t>Achat Cartons</t>
  </si>
  <si>
    <t>Achat fournisseurs</t>
  </si>
  <si>
    <t>solde fournisseurs 1 mois des achats</t>
  </si>
  <si>
    <t>Loyer</t>
  </si>
  <si>
    <t>Compte</t>
  </si>
  <si>
    <t>Débit</t>
  </si>
  <si>
    <t>Crédit</t>
  </si>
  <si>
    <t xml:space="preserve">Libéllé </t>
  </si>
  <si>
    <t>Banque</t>
  </si>
  <si>
    <t>capital</t>
  </si>
  <si>
    <t>emprunt</t>
  </si>
  <si>
    <t>interet</t>
  </si>
  <si>
    <t>clients</t>
  </si>
  <si>
    <t>vente</t>
  </si>
  <si>
    <t>retenue à la source</t>
  </si>
  <si>
    <t>fournisseur</t>
  </si>
  <si>
    <t>retenue à la source/acht</t>
  </si>
  <si>
    <t>Autres approv</t>
  </si>
  <si>
    <t>Achat équipement</t>
  </si>
  <si>
    <t>Droit de douane</t>
  </si>
  <si>
    <t>frais de transit</t>
  </si>
  <si>
    <t>frais de transport</t>
  </si>
  <si>
    <t>Amort</t>
  </si>
  <si>
    <t>Achat equipements</t>
  </si>
  <si>
    <t>IS</t>
  </si>
  <si>
    <t>Is à payer</t>
  </si>
  <si>
    <t>BS</t>
  </si>
  <si>
    <t>PL</t>
  </si>
  <si>
    <t>Variation de stock PF</t>
  </si>
  <si>
    <t>Variation de stock MP</t>
  </si>
  <si>
    <t>Régime de TVA</t>
  </si>
  <si>
    <t>Mais : TVA 6% sur achat/P°/Vente (tableau B paragraphe I.11 du code de TVA)</t>
  </si>
  <si>
    <t xml:space="preserve">Autres fruits secs : 6% au niveau du transformation ; Tableau B paragraphe III .11 </t>
  </si>
  <si>
    <t xml:space="preserve">Autres fruits secs  sont soumis au taux de 18% </t>
  </si>
  <si>
    <t>Solde</t>
  </si>
  <si>
    <t>Affectation</t>
  </si>
  <si>
    <t>TVA/VTE</t>
  </si>
  <si>
    <t>TVA/ACHAT</t>
  </si>
  <si>
    <t>Frais préliminaires</t>
  </si>
  <si>
    <t>A</t>
  </si>
  <si>
    <t>P</t>
  </si>
  <si>
    <t>CP</t>
  </si>
  <si>
    <t>Les importations des équipements sont soumis au taux de TVA de 6% Tableau B bis paragraphe I.3.a voir note commune N° 21/2014</t>
  </si>
  <si>
    <t>Autres</t>
  </si>
  <si>
    <t>Investissements</t>
  </si>
  <si>
    <t>Equipements importés</t>
  </si>
  <si>
    <t>Autres équipements</t>
  </si>
  <si>
    <t>Solde de TVA</t>
  </si>
  <si>
    <t>p</t>
  </si>
  <si>
    <t xml:space="preserve">Délai de démarrage </t>
  </si>
  <si>
    <t>Nombre de jours / année</t>
  </si>
  <si>
    <t>310 jours</t>
  </si>
  <si>
    <t>REPORT TVA</t>
  </si>
  <si>
    <t>Hypothèse</t>
  </si>
  <si>
    <t>Hyp : DRDF 45 jours</t>
  </si>
  <si>
    <t>Hyp règelment à 15 jours</t>
  </si>
  <si>
    <t xml:space="preserve">CA Net </t>
  </si>
  <si>
    <t>CA Annuelle/Sachet</t>
  </si>
  <si>
    <t>QT Annuel /Sachet</t>
  </si>
  <si>
    <t>Calcul cout de production2016</t>
  </si>
  <si>
    <t>Prix d'achat emballage = 8,9 TND HT /Kg</t>
  </si>
  <si>
    <t>Production anuelle</t>
  </si>
  <si>
    <t>Cout d'amort unit</t>
  </si>
  <si>
    <t>Hypotèse d'évolution</t>
  </si>
  <si>
    <t>Chiffre d'affaire y compris ristoune</t>
  </si>
  <si>
    <t>Variation du Stock</t>
  </si>
  <si>
    <t>MP Aromes</t>
  </si>
  <si>
    <t>MP emballage</t>
  </si>
  <si>
    <t>MP</t>
  </si>
  <si>
    <t>emballage</t>
  </si>
  <si>
    <t xml:space="preserve">Consommations </t>
  </si>
  <si>
    <t>Total consommation</t>
  </si>
  <si>
    <t>Prix uni*taux dechets</t>
  </si>
  <si>
    <t>QT produite</t>
  </si>
  <si>
    <t>Valeur dechets</t>
  </si>
  <si>
    <t>Variation du BFR</t>
  </si>
  <si>
    <t>Augmentation 5%</t>
  </si>
  <si>
    <t>31 Déc. 2017</t>
  </si>
  <si>
    <t>31 Déc. 2018</t>
  </si>
  <si>
    <t>31 Déc. 2019</t>
  </si>
  <si>
    <t>31 Déc. 2020</t>
  </si>
  <si>
    <t xml:space="preserve">TFP </t>
  </si>
  <si>
    <t>FOPROLOS</t>
  </si>
  <si>
    <t>TCL</t>
  </si>
  <si>
    <t>Assurance (0,11% du chiffre d'affaire)</t>
  </si>
  <si>
    <t>Montant de l'emprunt</t>
  </si>
  <si>
    <t>Taux d'intérêt</t>
  </si>
  <si>
    <t>Nombre de remboursement en année</t>
  </si>
  <si>
    <t>Date débur de remboursement</t>
  </si>
  <si>
    <t>Fin de l’année  I 0</t>
  </si>
  <si>
    <t xml:space="preserve">1ère année </t>
  </si>
  <si>
    <t>2ème année</t>
  </si>
  <si>
    <t>3ème année</t>
  </si>
  <si>
    <t>4ème année</t>
  </si>
  <si>
    <t>5ème année</t>
  </si>
  <si>
    <t>Cash-flows d'Exploitation</t>
  </si>
  <si>
    <t>TABLEAU DE TRESORERIE PREVISIONNEL ANNUELLE</t>
  </si>
  <si>
    <t>Fonds Propres</t>
  </si>
  <si>
    <t xml:space="preserve">Dettes </t>
  </si>
  <si>
    <t>Investissement Initial</t>
  </si>
  <si>
    <t>Remboursement dettes en principal</t>
  </si>
  <si>
    <t>tresorerie Net</t>
  </si>
  <si>
    <t>tresorerie  net cumulé</t>
  </si>
  <si>
    <t>Trimestrialité</t>
  </si>
  <si>
    <t>7 ans</t>
  </si>
  <si>
    <t>VCN</t>
  </si>
  <si>
    <t>Total Amort</t>
  </si>
  <si>
    <t>QT achetée en Kg</t>
  </si>
  <si>
    <t>Le taux de ristourne est de 10% du chiffre d'affaire</t>
  </si>
  <si>
    <t>Qt matière consommées</t>
  </si>
  <si>
    <t>Production =320/310 jours vente</t>
  </si>
  <si>
    <t>consommation= 101% prod</t>
  </si>
  <si>
    <t>Achat = (consommation-SI)*13/12</t>
  </si>
  <si>
    <t>stock MP = Achat/13</t>
  </si>
  <si>
    <t>Qt Vendu</t>
  </si>
  <si>
    <t>Qt produite</t>
  </si>
  <si>
    <t>Qt Consommées</t>
  </si>
  <si>
    <t>Qt achétée</t>
  </si>
  <si>
    <t>Qt SF</t>
  </si>
  <si>
    <t>Qt achétées</t>
  </si>
  <si>
    <t>Check St. F</t>
  </si>
  <si>
    <t>Check augmentation consommation</t>
  </si>
  <si>
    <t>Check augmentation Qt vendues</t>
  </si>
  <si>
    <t>Matière premières</t>
  </si>
  <si>
    <t>Achat aromes</t>
  </si>
  <si>
    <t>QT consommées</t>
  </si>
  <si>
    <t>Chiffre d'affaire net</t>
  </si>
  <si>
    <t>Valeur en DT</t>
  </si>
  <si>
    <t>Agencement et aménagement construction</t>
  </si>
  <si>
    <t>Matériels de transport</t>
  </si>
  <si>
    <t>Sous-total Immobilisations Corporelles</t>
  </si>
  <si>
    <t>Sous-total Immobilisations Incorporelles</t>
  </si>
  <si>
    <t>Fonds de roulement</t>
  </si>
  <si>
    <t>Autres matériels</t>
  </si>
  <si>
    <t>Valeur en USD</t>
  </si>
  <si>
    <t>Matériels industriels</t>
  </si>
  <si>
    <t>Machine d'Emballage Vertical</t>
  </si>
  <si>
    <t>Machines à Rôtir OS190</t>
  </si>
  <si>
    <t>Machine à Salage</t>
  </si>
  <si>
    <t>Machine d'épluchage de noisette et cacahuète</t>
  </si>
  <si>
    <t>Fourgonnette (Berlinguo)</t>
  </si>
  <si>
    <t>Fourgon (Jumper)</t>
  </si>
  <si>
    <t>Quantité</t>
  </si>
  <si>
    <t>Matériels et mobiliers de bureau</t>
  </si>
  <si>
    <t>Agencement et aménagements construction</t>
  </si>
  <si>
    <t>Climatisations</t>
  </si>
  <si>
    <t>Installation sécurité</t>
  </si>
  <si>
    <t>Autres agencements</t>
  </si>
  <si>
    <t>Installations Eléctricité</t>
  </si>
  <si>
    <t>Installations téléphonique</t>
  </si>
  <si>
    <t>Portes et fenêtre métalliques</t>
  </si>
  <si>
    <t>Etude de rentabilité</t>
  </si>
  <si>
    <t>Prospection commerciale et publicité</t>
  </si>
  <si>
    <t>Formation du personnel</t>
  </si>
  <si>
    <t>Frais de constitution</t>
  </si>
  <si>
    <t>Logiciels de gestion</t>
  </si>
  <si>
    <t>Prix d'achat Kg</t>
  </si>
  <si>
    <t>Prix de vente Kg</t>
  </si>
  <si>
    <t>Prix marché sachet</t>
  </si>
  <si>
    <t>PF Noix de Cajou</t>
  </si>
  <si>
    <t>PF Pistache</t>
  </si>
  <si>
    <t xml:space="preserve">PF Noisette </t>
  </si>
  <si>
    <t>Capacité de production Kg/H</t>
  </si>
  <si>
    <t>Machine Dragée</t>
  </si>
  <si>
    <t>Honoraires (Audit, avocat etc)</t>
  </si>
  <si>
    <t>Frais de gestion courantes (poste/Telecommunication)</t>
  </si>
  <si>
    <t>Hyp : DRCC 10 J</t>
  </si>
  <si>
    <t>j de CA TTC</t>
  </si>
  <si>
    <t>Source de financement</t>
  </si>
  <si>
    <t>Valeur</t>
  </si>
  <si>
    <t>Fonds propres</t>
  </si>
  <si>
    <t>Crédit à Moyen Terme</t>
  </si>
  <si>
    <t>Exonération de la TFP -FOPROLOS pendant 5 ans LF 2012</t>
  </si>
  <si>
    <t>Frais de maintenance et d'entretien, lubrifiant</t>
  </si>
  <si>
    <t>Franchise</t>
  </si>
  <si>
    <t>Check BG</t>
  </si>
  <si>
    <t>Check P&amp;L</t>
  </si>
  <si>
    <t xml:space="preserve">Début remboursement principal </t>
  </si>
  <si>
    <t>Production prévue 2016</t>
  </si>
  <si>
    <t>Capacité annuelle en Kg(8H/j)</t>
  </si>
  <si>
    <t>Capacité de Ption annuelle</t>
  </si>
  <si>
    <t>Niveau de production/Capacité de production</t>
  </si>
  <si>
    <t xml:space="preserve">Noisette </t>
  </si>
  <si>
    <t>Pistche</t>
  </si>
  <si>
    <t>QT produites  en Kg/mois</t>
  </si>
  <si>
    <t>QT - sachet/mois</t>
  </si>
  <si>
    <t>Arômes</t>
  </si>
  <si>
    <t>Energies</t>
  </si>
  <si>
    <t>Sous-Total consommation matières</t>
  </si>
  <si>
    <t>Sous-Total consommation autres approvisionnements</t>
  </si>
  <si>
    <t>Total achats consommés</t>
  </si>
  <si>
    <t>Noix de Cajou</t>
  </si>
  <si>
    <t>Responsables Commerciaux</t>
  </si>
  <si>
    <t>Directeur financier</t>
  </si>
  <si>
    <t>Administratif</t>
  </si>
  <si>
    <t>Chauffeur</t>
  </si>
  <si>
    <t>Salaire brut annuel</t>
  </si>
  <si>
    <t>Fonctions</t>
  </si>
  <si>
    <t>Salaire Brut</t>
  </si>
  <si>
    <t>Frais de marketing</t>
  </si>
  <si>
    <t>Charges locatives</t>
  </si>
  <si>
    <t>Frais de maintenance</t>
  </si>
  <si>
    <t>Honoraires</t>
  </si>
  <si>
    <t>Autres taxes</t>
  </si>
  <si>
    <t>Assurances</t>
  </si>
  <si>
    <t>Voyages et déplacement</t>
  </si>
  <si>
    <t>Divers frais de gestion</t>
  </si>
  <si>
    <t>4% du cout d'invest</t>
  </si>
  <si>
    <t>Forfait + augm de 3%</t>
  </si>
  <si>
    <t>Forfait + augm de 5%</t>
  </si>
  <si>
    <t>Total autres charges d'exploitation</t>
  </si>
  <si>
    <t>BFR = 33 jours</t>
  </si>
  <si>
    <t>Chiffre d'affaire net TTC</t>
  </si>
  <si>
    <t>Résultat Net</t>
  </si>
  <si>
    <t>Résultat Exploitation</t>
  </si>
  <si>
    <t>Variation St. P finis</t>
  </si>
  <si>
    <t>BFR</t>
  </si>
  <si>
    <t>Variation BFR</t>
  </si>
  <si>
    <t>Résultat net</t>
  </si>
  <si>
    <t>Dotations aux amortissements</t>
  </si>
  <si>
    <t>Remboursement du crédit bancaire</t>
  </si>
  <si>
    <t>Investissement Intial</t>
  </si>
  <si>
    <t>Ratio Marge Brute</t>
  </si>
  <si>
    <t>Ratio Exécdent Brut d'exploitation</t>
  </si>
  <si>
    <t>Ration de marge Nette</t>
  </si>
  <si>
    <t>Cash Flows</t>
  </si>
  <si>
    <t>Cash Flows actualisés</t>
  </si>
  <si>
    <t>Démarrage du projet (t0)</t>
  </si>
  <si>
    <t>Total Cash Flow actualisés cumulées</t>
  </si>
  <si>
    <t>Coefficient d'actualisation(10%)</t>
  </si>
  <si>
    <t>1 ans</t>
  </si>
  <si>
    <t>6ème année</t>
  </si>
  <si>
    <t>7ème année</t>
  </si>
  <si>
    <t>Récupération BFR</t>
  </si>
  <si>
    <t>Financement</t>
  </si>
  <si>
    <r>
      <t>Commande</t>
    </r>
    <r>
      <rPr>
        <sz val="9"/>
        <rFont val="Arial Narrow"/>
        <family val="2"/>
      </rPr>
      <t xml:space="preserve"> des</t>
    </r>
    <r>
      <rPr>
        <sz val="8.5"/>
        <rFont val="Arial Narrow"/>
        <family val="2"/>
      </rPr>
      <t xml:space="preserve"> équipements</t>
    </r>
  </si>
  <si>
    <r>
      <t>Démarrage</t>
    </r>
    <r>
      <rPr>
        <sz val="9"/>
        <rFont val="Arial Narrow"/>
        <family val="2"/>
      </rPr>
      <t xml:space="preserve"> </t>
    </r>
    <r>
      <rPr>
        <sz val="8.5"/>
        <rFont val="Arial Narrow"/>
        <family val="2"/>
      </rPr>
      <t>production</t>
    </r>
    <r>
      <rPr>
        <sz val="9"/>
        <color rgb="FF000080"/>
        <rFont val="Arial Narrow"/>
        <family val="2"/>
      </rPr>
      <t/>
    </r>
  </si>
  <si>
    <t>QT vendues annuelle en Kg</t>
  </si>
  <si>
    <t>VCN des immobilisations</t>
  </si>
  <si>
    <t>Cash flows</t>
  </si>
  <si>
    <t>Cash flows cumulés</t>
  </si>
  <si>
    <t>Cash Flow d'exploitation</t>
  </si>
  <si>
    <t>Cash flows d'exploitation</t>
  </si>
  <si>
    <t>Délai de récupération</t>
  </si>
  <si>
    <t>Valeur actuelle nette</t>
  </si>
  <si>
    <t>0,5% du chiffre d'affaire</t>
  </si>
  <si>
    <t>3% du chiffre d'affaire</t>
  </si>
  <si>
    <t>Autres immobilisations</t>
  </si>
  <si>
    <t xml:space="preserve">BFR </t>
  </si>
  <si>
    <t>Annuités</t>
  </si>
  <si>
    <t>Amortissement Principal</t>
  </si>
  <si>
    <t>Interêts</t>
  </si>
  <si>
    <t>Capital restant du</t>
  </si>
  <si>
    <t>Sachet de 100 g</t>
  </si>
  <si>
    <t>Prix de Vte unitaire</t>
  </si>
  <si>
    <t xml:space="preserve">Chiffre d'affaire </t>
  </si>
  <si>
    <t>Cout des équipements</t>
  </si>
  <si>
    <t>Frais d'entretien</t>
  </si>
  <si>
    <t xml:space="preserve">Assurance </t>
  </si>
  <si>
    <t>Charges d'intérets</t>
  </si>
  <si>
    <t>Stock</t>
  </si>
  <si>
    <t>client</t>
  </si>
  <si>
    <t>AAC</t>
  </si>
  <si>
    <t>Feurs</t>
  </si>
  <si>
    <t>APC</t>
  </si>
  <si>
    <t xml:space="preserve"> %</t>
  </si>
  <si>
    <t>1% du chiffre d'affaires TTC</t>
  </si>
  <si>
    <t>TFP et FOPROLOS</t>
  </si>
  <si>
    <t>Forfait+ Augmentation annuele de 3%</t>
  </si>
  <si>
    <t>Forfait+ Augmentation annuelle de 5%</t>
  </si>
  <si>
    <t>0,5% du chiffre d'affaires</t>
  </si>
  <si>
    <t>Cash flows actualisés</t>
  </si>
  <si>
    <t>Cash flows cumulés actualisés</t>
  </si>
  <si>
    <t>Démarrage du projet</t>
  </si>
  <si>
    <t>TRI</t>
  </si>
  <si>
    <t xml:space="preserve">Total Cash flows </t>
  </si>
  <si>
    <t>Chiffre d'affaires</t>
  </si>
  <si>
    <t>Marge brute</t>
  </si>
  <si>
    <t>Trésorerie nette</t>
  </si>
  <si>
    <t>????</t>
  </si>
</sst>
</file>

<file path=xl/styles.xml><?xml version="1.0" encoding="utf-8"?>
<styleSheet xmlns="http://schemas.openxmlformats.org/spreadsheetml/2006/main">
  <numFmts count="2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0"/>
    <numFmt numFmtId="165" formatCode="#,##0;\-#,##0;&quot;-&quot;"/>
    <numFmt numFmtId="166" formatCode="#,##0.00;\-#,##0.00;&quot;-&quot;"/>
    <numFmt numFmtId="167" formatCode="#,##0%;\-#,##0%;&quot;- &quot;"/>
    <numFmt numFmtId="168" formatCode="#,##0.0%;\-#,##0.0%;&quot;- &quot;"/>
    <numFmt numFmtId="169" formatCode="#,##0.00%;\-#,##0.00%;&quot;- &quot;"/>
    <numFmt numFmtId="170" formatCode="#,##0.0;\-#,##0.0;&quot;-&quot;"/>
    <numFmt numFmtId="171" formatCode="#,##0.0"/>
    <numFmt numFmtId="172" formatCode="_-* #,##0.00\ _F_-;\-* #,##0.00\ _F_-;_-* &quot;-&quot;??\ _F_-;_-@_-"/>
    <numFmt numFmtId="173" formatCode="&quot;$&quot;#,##0_);[Red]\(&quot;$&quot;#,##0\)"/>
    <numFmt numFmtId="174" formatCode="&quot;$&quot;#,##0.000_);\(&quot;$&quot;#,##0.000\)"/>
    <numFmt numFmtId="175" formatCode="_-* #,##0.00\ _P_t_s_-;\-* #,##0.00\ _P_t_s_-;_-* &quot;-&quot;??\ _P_t_s_-;_-@_-"/>
    <numFmt numFmtId="176" formatCode="#,##0.0000"/>
    <numFmt numFmtId="177" formatCode="mm/dd/yy"/>
    <numFmt numFmtId="178" formatCode="_(* #,##0.00_);_(* \(#,##0.00\);_(* &quot;-&quot;??_);_(@_)"/>
    <numFmt numFmtId="179" formatCode="0.0%"/>
    <numFmt numFmtId="180" formatCode="&quot;$&quot;\ #,##0.00;&quot;$&quot;\ \-#,##0.00"/>
    <numFmt numFmtId="181" formatCode="_(&quot;$&quot;* #,##0.00_);_(&quot;$&quot;* \(#,##0.00\);_(&quot;$&quot;* &quot;-&quot;??_);_(@_)"/>
    <numFmt numFmtId="182" formatCode="0%;\(0%\)"/>
    <numFmt numFmtId="183" formatCode="\ \ @"/>
    <numFmt numFmtId="184" formatCode="\ \ \ \ @"/>
    <numFmt numFmtId="185" formatCode="_(&quot;$&quot;* #,##0_);_(&quot;$&quot;* \(#,##0\);_(&quot;$&quot;* &quot;-&quot;_);_(@_)"/>
    <numFmt numFmtId="186" formatCode="0.000"/>
  </numFmts>
  <fonts count="10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i/>
      <u/>
      <sz val="9"/>
      <color theme="1"/>
      <name val="Calibri"/>
      <family val="2"/>
      <scheme val="minor"/>
    </font>
    <font>
      <b/>
      <sz val="9"/>
      <color rgb="FF244061"/>
      <name val="Arial"/>
      <family val="2"/>
    </font>
    <font>
      <sz val="9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2"/>
      <name val="Tms Rmn"/>
    </font>
    <font>
      <sz val="10"/>
      <color indexed="8"/>
      <name val="Arial"/>
      <family val="2"/>
      <charset val="178"/>
    </font>
    <font>
      <sz val="10"/>
      <color indexed="24"/>
      <name val="Arial"/>
      <family val="2"/>
    </font>
    <font>
      <sz val="10"/>
      <name val="Arial"/>
      <family val="2"/>
      <charset val="178"/>
    </font>
    <font>
      <sz val="10"/>
      <color indexed="0"/>
      <name val="MS Sans Serif"/>
      <family val="2"/>
    </font>
    <font>
      <sz val="10"/>
      <name val="BERNHARD"/>
      <charset val="178"/>
    </font>
    <font>
      <sz val="10"/>
      <name val="Helv"/>
      <charset val="178"/>
    </font>
    <font>
      <sz val="11"/>
      <name val="??"/>
      <family val="3"/>
      <charset val="129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12"/>
      <name val="Arial"/>
      <family val="2"/>
      <charset val="178"/>
    </font>
    <font>
      <sz val="11"/>
      <name val="Myriad Regular"/>
    </font>
    <font>
      <b/>
      <sz val="12"/>
      <color indexed="24"/>
      <name val="Arial"/>
      <family val="2"/>
    </font>
    <font>
      <b/>
      <sz val="14"/>
      <color indexed="24"/>
      <name val="Arial"/>
      <family val="2"/>
    </font>
    <font>
      <b/>
      <sz val="13.5"/>
      <color indexed="16"/>
      <name val="MS Sans Serif"/>
      <family val="2"/>
      <charset val="178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sz val="12"/>
      <name val="Arial"/>
      <family val="2"/>
      <charset val="178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u/>
      <sz val="12"/>
      <color indexed="12"/>
      <name val="Times New Roman"/>
      <family val="1"/>
    </font>
    <font>
      <u/>
      <sz val="12"/>
      <color indexed="36"/>
      <name val="Times New Roman"/>
      <family val="1"/>
    </font>
    <font>
      <sz val="10"/>
      <color indexed="14"/>
      <name val="Arial"/>
      <family val="2"/>
      <charset val="178"/>
    </font>
    <font>
      <sz val="10"/>
      <name val="MS Sans Serif"/>
      <family val="2"/>
    </font>
    <font>
      <sz val="10"/>
      <name val="Times New Roman"/>
      <family val="1"/>
    </font>
    <font>
      <sz val="10"/>
      <name val="Arabic Transparent"/>
    </font>
    <font>
      <sz val="7"/>
      <name val="Small Fonts"/>
      <family val="2"/>
    </font>
    <font>
      <sz val="10"/>
      <name val="Courier"/>
      <family val="3"/>
    </font>
    <font>
      <sz val="10"/>
      <color theme="1"/>
      <name val="Arial"/>
      <family val="2"/>
    </font>
    <font>
      <sz val="12"/>
      <name val="Times New Roman"/>
      <family val="1"/>
    </font>
    <font>
      <sz val="10"/>
      <name val="Arial CE"/>
      <charset val="238"/>
    </font>
    <font>
      <sz val="12"/>
      <color indexed="8"/>
      <name val="Times New Roman"/>
      <family val="1"/>
    </font>
    <font>
      <sz val="10"/>
      <color indexed="10"/>
      <name val="Arial"/>
      <family val="2"/>
      <charset val="178"/>
    </font>
    <font>
      <b/>
      <sz val="10"/>
      <color indexed="24"/>
      <name val="Arial"/>
      <family val="2"/>
    </font>
    <font>
      <b/>
      <sz val="10"/>
      <name val="Myriad Regular"/>
      <family val="2"/>
    </font>
    <font>
      <b/>
      <sz val="10"/>
      <color indexed="8"/>
      <name val="Myriad Regular"/>
      <family val="2"/>
    </font>
    <font>
      <sz val="10"/>
      <name val="Myriad Regular"/>
      <family val="2"/>
    </font>
    <font>
      <b/>
      <sz val="16"/>
      <name val="Myriad Regular"/>
      <family val="2"/>
    </font>
    <font>
      <b/>
      <sz val="12"/>
      <name val="Helv"/>
    </font>
    <font>
      <sz val="8"/>
      <color indexed="12"/>
      <name val="Arial"/>
      <family val="2"/>
    </font>
    <font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sz val="9"/>
      <color theme="0"/>
      <name val="Calibri"/>
      <family val="2"/>
    </font>
    <font>
      <b/>
      <sz val="9"/>
      <color indexed="10"/>
      <name val="Calibri"/>
      <family val="2"/>
      <scheme val="minor"/>
    </font>
    <font>
      <b/>
      <sz val="9"/>
      <name val="Arial"/>
      <family val="2"/>
    </font>
    <font>
      <i/>
      <sz val="8"/>
      <color rgb="FFFF0000"/>
      <name val="Calibri"/>
      <family val="2"/>
      <scheme val="minor"/>
    </font>
    <font>
      <sz val="9"/>
      <color rgb="FFC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53535"/>
      <name val="Tahoma"/>
      <family val="2"/>
    </font>
    <font>
      <sz val="10"/>
      <name val="Calibri"/>
      <family val="1"/>
      <scheme val="minor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0"/>
      <color theme="1"/>
      <name val="Calibri"/>
      <family val="1"/>
      <scheme val="minor"/>
    </font>
    <font>
      <b/>
      <i/>
      <sz val="9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80"/>
      <name val="Arial Narrow"/>
      <family val="2"/>
    </font>
    <font>
      <sz val="10"/>
      <color theme="1"/>
      <name val="Times New Roman"/>
      <family val="1"/>
    </font>
    <font>
      <b/>
      <sz val="9"/>
      <color theme="0"/>
      <name val="Arial Narrow"/>
      <family val="2"/>
    </font>
    <font>
      <sz val="9"/>
      <name val="Arial Narrow"/>
      <family val="2"/>
    </font>
    <font>
      <sz val="8.5"/>
      <name val="Arial Narrow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Arial"/>
      <family val="2"/>
    </font>
    <font>
      <b/>
      <sz val="9"/>
      <name val="Calibri"/>
      <family val="2"/>
    </font>
    <font>
      <b/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lightUp">
        <fgColor indexed="22"/>
        <bgColor indexed="9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F2F2F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82">
    <xf numFmtId="0" fontId="0" fillId="0" borderId="0"/>
    <xf numFmtId="9" fontId="1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9" fontId="14" fillId="3" borderId="0"/>
    <xf numFmtId="0" fontId="15" fillId="0" borderId="0" applyNumberFormat="0" applyFill="0" applyBorder="0" applyAlignment="0" applyProtection="0"/>
    <xf numFmtId="165" fontId="16" fillId="0" borderId="0" applyFill="0" applyBorder="0" applyAlignment="0"/>
    <xf numFmtId="166" fontId="16" fillId="0" borderId="0" applyFill="0" applyBorder="0" applyAlignment="0"/>
    <xf numFmtId="167" fontId="16" fillId="0" borderId="0" applyFill="0" applyBorder="0" applyAlignment="0"/>
    <xf numFmtId="168" fontId="16" fillId="0" borderId="0" applyFill="0" applyBorder="0" applyAlignment="0"/>
    <xf numFmtId="169" fontId="16" fillId="0" borderId="0" applyFill="0" applyBorder="0" applyAlignment="0"/>
    <xf numFmtId="165" fontId="16" fillId="0" borderId="0" applyFill="0" applyBorder="0" applyAlignment="0"/>
    <xf numFmtId="170" fontId="16" fillId="0" borderId="0" applyFill="0" applyBorder="0" applyAlignment="0"/>
    <xf numFmtId="166" fontId="16" fillId="0" borderId="0" applyFill="0" applyBorder="0" applyAlignment="0"/>
    <xf numFmtId="3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65" fontId="18" fillId="0" borderId="0" applyFont="0" applyFill="0" applyBorder="0" applyAlignment="0" applyProtection="0"/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1" fillId="0" borderId="0"/>
    <xf numFmtId="0" fontId="20" fillId="0" borderId="0"/>
    <xf numFmtId="0" fontId="21" fillId="0" borderId="0"/>
    <xf numFmtId="166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73" fontId="22" fillId="0" borderId="0">
      <protection locked="0"/>
    </xf>
    <xf numFmtId="14" fontId="16" fillId="0" borderId="0" applyFill="0" applyBorder="0" applyAlignment="0"/>
    <xf numFmtId="173" fontId="22" fillId="0" borderId="0">
      <protection locked="0"/>
    </xf>
    <xf numFmtId="0" fontId="16" fillId="0" borderId="7" applyNumberFormat="0" applyFill="0" applyBorder="0" applyAlignment="0" applyProtection="0"/>
    <xf numFmtId="0" fontId="14" fillId="0" borderId="8">
      <alignment vertical="center"/>
    </xf>
    <xf numFmtId="174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0" fontId="23" fillId="0" borderId="0">
      <protection locked="0"/>
    </xf>
    <xf numFmtId="0" fontId="24" fillId="0" borderId="0">
      <protection locked="0"/>
    </xf>
    <xf numFmtId="0" fontId="24" fillId="0" borderId="0">
      <protection locked="0"/>
    </xf>
    <xf numFmtId="165" fontId="25" fillId="0" borderId="0" applyFill="0" applyBorder="0" applyAlignment="0"/>
    <xf numFmtId="166" fontId="25" fillId="0" borderId="0" applyFill="0" applyBorder="0" applyAlignment="0"/>
    <xf numFmtId="165" fontId="25" fillId="0" borderId="0" applyFill="0" applyBorder="0" applyAlignment="0"/>
    <xf numFmtId="170" fontId="25" fillId="0" borderId="0" applyFill="0" applyBorder="0" applyAlignment="0"/>
    <xf numFmtId="166" fontId="25" fillId="0" borderId="0" applyFill="0" applyBorder="0" applyAlignment="0"/>
    <xf numFmtId="0" fontId="1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14" fillId="0" borderId="0">
      <protection locked="0"/>
    </xf>
    <xf numFmtId="0" fontId="27" fillId="0" borderId="0" applyFill="0" applyBorder="0" applyAlignment="0" applyProtection="0"/>
    <xf numFmtId="0" fontId="28" fillId="0" borderId="0" applyNumberFormat="0" applyFill="0" applyBorder="0" applyAlignment="0" applyProtection="0"/>
    <xf numFmtId="49" fontId="29" fillId="4" borderId="0" applyNumberFormat="0" applyFont="0" applyFill="0" applyAlignment="0">
      <alignment horizontal="left"/>
    </xf>
    <xf numFmtId="38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Alignment="0" applyProtection="0">
      <alignment horizontal="left" vertical="center"/>
    </xf>
    <xf numFmtId="0" fontId="32" fillId="0" borderId="5">
      <alignment horizontal="left" vertical="center"/>
    </xf>
    <xf numFmtId="0" fontId="14" fillId="0" borderId="0">
      <protection locked="0"/>
    </xf>
    <xf numFmtId="0" fontId="14" fillId="0" borderId="0">
      <protection locked="0"/>
    </xf>
    <xf numFmtId="0" fontId="33" fillId="0" borderId="10" applyNumberFormat="0" applyFill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0" fontId="30" fillId="5" borderId="7" applyNumberFormat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65" fontId="38" fillId="0" borderId="0" applyFill="0" applyBorder="0" applyAlignment="0"/>
    <xf numFmtId="166" fontId="38" fillId="0" borderId="0" applyFill="0" applyBorder="0" applyAlignment="0"/>
    <xf numFmtId="165" fontId="38" fillId="0" borderId="0" applyFill="0" applyBorder="0" applyAlignment="0"/>
    <xf numFmtId="170" fontId="38" fillId="0" borderId="0" applyFill="0" applyBorder="0" applyAlignment="0"/>
    <xf numFmtId="166" fontId="38" fillId="0" borderId="0" applyFill="0" applyBorder="0" applyAlignment="0"/>
    <xf numFmtId="38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38" fontId="40" fillId="0" borderId="11">
      <alignment vertical="center"/>
    </xf>
    <xf numFmtId="40" fontId="40" fillId="0" borderId="11">
      <alignment vertical="center"/>
    </xf>
    <xf numFmtId="38" fontId="40" fillId="0" borderId="11">
      <alignment vertical="center"/>
    </xf>
    <xf numFmtId="176" fontId="14" fillId="0" borderId="0" applyFont="0" applyFill="0" applyBorder="0" applyAlignment="0" applyProtection="0"/>
    <xf numFmtId="40" fontId="40" fillId="0" borderId="12" applyBorder="0">
      <alignment vertical="center"/>
    </xf>
    <xf numFmtId="40" fontId="40" fillId="0" borderId="11">
      <alignment vertical="center"/>
    </xf>
    <xf numFmtId="40" fontId="40" fillId="0" borderId="11">
      <alignment vertical="center"/>
    </xf>
    <xf numFmtId="40" fontId="40" fillId="0" borderId="12" applyBorder="0">
      <alignment vertical="center"/>
    </xf>
    <xf numFmtId="40" fontId="40" fillId="0" borderId="12" applyBorder="0">
      <alignment vertical="center"/>
    </xf>
    <xf numFmtId="40" fontId="40" fillId="0" borderId="12" applyBorder="0">
      <alignment vertical="center"/>
    </xf>
    <xf numFmtId="177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41" fillId="0" borderId="13" applyNumberFormat="0" applyBorder="0">
      <alignment horizontal="right"/>
    </xf>
    <xf numFmtId="37" fontId="42" fillId="0" borderId="0"/>
    <xf numFmtId="0" fontId="43" fillId="0" borderId="0"/>
    <xf numFmtId="0" fontId="14" fillId="0" borderId="0"/>
    <xf numFmtId="0" fontId="44" fillId="0" borderId="0"/>
    <xf numFmtId="0" fontId="44" fillId="0" borderId="0"/>
    <xf numFmtId="0" fontId="4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4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top"/>
    </xf>
    <xf numFmtId="0" fontId="1" fillId="0" borderId="0"/>
    <xf numFmtId="0" fontId="1" fillId="0" borderId="0"/>
    <xf numFmtId="0" fontId="45" fillId="0" borderId="0"/>
    <xf numFmtId="0" fontId="44" fillId="0" borderId="0"/>
    <xf numFmtId="0" fontId="46" fillId="0" borderId="0"/>
    <xf numFmtId="0" fontId="45" fillId="0" borderId="0"/>
    <xf numFmtId="0" fontId="39" fillId="0" borderId="0"/>
    <xf numFmtId="0" fontId="47" fillId="5" borderId="0"/>
    <xf numFmtId="9" fontId="39" fillId="0" borderId="14" applyBorder="0"/>
    <xf numFmtId="169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10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9" fillId="0" borderId="14" applyBorder="0"/>
    <xf numFmtId="9" fontId="1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4" fillId="0" borderId="0" applyFont="0" applyFill="0" applyBorder="0" applyAlignment="0" applyProtection="0"/>
    <xf numFmtId="165" fontId="48" fillId="0" borderId="0" applyFill="0" applyBorder="0" applyAlignment="0"/>
    <xf numFmtId="166" fontId="48" fillId="0" borderId="0" applyFill="0" applyBorder="0" applyAlignment="0"/>
    <xf numFmtId="165" fontId="48" fillId="0" borderId="0" applyFill="0" applyBorder="0" applyAlignment="0"/>
    <xf numFmtId="170" fontId="48" fillId="0" borderId="0" applyFill="0" applyBorder="0" applyAlignment="0"/>
    <xf numFmtId="166" fontId="48" fillId="0" borderId="0" applyFill="0" applyBorder="0" applyAlignment="0"/>
    <xf numFmtId="0" fontId="49" fillId="0" borderId="0" applyNumberFormat="0" applyBorder="0" applyAlignment="0" applyProtection="0"/>
    <xf numFmtId="0" fontId="49" fillId="0" borderId="0" applyNumberFormat="0" applyAlignment="0" applyProtection="0"/>
    <xf numFmtId="0" fontId="50" fillId="6" borderId="15" applyNumberFormat="0" applyProtection="0">
      <alignment horizontal="left" vertical="center" wrapText="1" indent="1"/>
    </xf>
    <xf numFmtId="4" fontId="51" fillId="7" borderId="0" applyNumberFormat="0" applyProtection="0">
      <alignment horizontal="left" vertical="center" indent="1"/>
    </xf>
    <xf numFmtId="4" fontId="51" fillId="6" borderId="0" applyNumberFormat="0" applyProtection="0">
      <alignment horizontal="left" vertical="center" indent="1"/>
    </xf>
    <xf numFmtId="4" fontId="51" fillId="6" borderId="16" applyNumberFormat="0" applyProtection="0">
      <alignment horizontal="left" vertical="center" indent="1"/>
    </xf>
    <xf numFmtId="4" fontId="51" fillId="6" borderId="15" applyNumberFormat="0" applyProtection="0">
      <alignment horizontal="left" vertical="center" indent="1"/>
    </xf>
    <xf numFmtId="0" fontId="50" fillId="6" borderId="15" applyNumberFormat="0" applyProtection="0">
      <alignment horizontal="left" vertical="center" wrapText="1"/>
    </xf>
    <xf numFmtId="0" fontId="50" fillId="6" borderId="15" applyNumberFormat="0" applyProtection="0">
      <alignment horizontal="left" vertical="center" indent="4"/>
    </xf>
    <xf numFmtId="0" fontId="52" fillId="6" borderId="15" applyNumberFormat="0" applyProtection="0">
      <alignment horizontal="left" vertical="center" indent="1"/>
    </xf>
    <xf numFmtId="0" fontId="52" fillId="6" borderId="15" applyNumberFormat="0" applyProtection="0">
      <alignment horizontal="left" vertical="center" indent="1"/>
    </xf>
    <xf numFmtId="4" fontId="13" fillId="6" borderId="17" applyNumberFormat="0" applyProtection="0">
      <alignment horizontal="right" vertical="center"/>
    </xf>
    <xf numFmtId="4" fontId="50" fillId="6" borderId="18" applyNumberFormat="0" applyProtection="0">
      <alignment horizontal="right" vertical="center"/>
    </xf>
    <xf numFmtId="0" fontId="50" fillId="6" borderId="18" applyNumberFormat="0" applyProtection="0">
      <alignment horizontal="center" vertical="center" wrapText="1"/>
    </xf>
    <xf numFmtId="0" fontId="53" fillId="6" borderId="0" applyNumberFormat="0" applyProtection="0"/>
    <xf numFmtId="0" fontId="14" fillId="0" borderId="0"/>
    <xf numFmtId="0" fontId="54" fillId="0" borderId="19"/>
    <xf numFmtId="0" fontId="14" fillId="0" borderId="0"/>
    <xf numFmtId="0" fontId="54" fillId="8" borderId="0"/>
    <xf numFmtId="0" fontId="54" fillId="0" borderId="20"/>
    <xf numFmtId="49" fontId="16" fillId="0" borderId="0" applyFill="0" applyBorder="0" applyAlignment="0"/>
    <xf numFmtId="183" fontId="16" fillId="0" borderId="0" applyFill="0" applyBorder="0" applyAlignment="0"/>
    <xf numFmtId="184" fontId="16" fillId="0" borderId="0" applyFill="0" applyBorder="0" applyAlignment="0"/>
    <xf numFmtId="0" fontId="2" fillId="0" borderId="1" applyNumberFormat="0" applyFill="0" applyAlignment="0" applyProtection="0"/>
    <xf numFmtId="0" fontId="54" fillId="8" borderId="0"/>
    <xf numFmtId="37" fontId="30" fillId="9" borderId="0" applyNumberFormat="0" applyBorder="0" applyAlignment="0" applyProtection="0"/>
    <xf numFmtId="37" fontId="30" fillId="0" borderId="0"/>
    <xf numFmtId="3" fontId="55" fillId="0" borderId="10" applyProtection="0"/>
    <xf numFmtId="185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14" fillId="0" borderId="0"/>
    <xf numFmtId="0" fontId="83" fillId="0" borderId="0"/>
    <xf numFmtId="44" fontId="14" fillId="0" borderId="0" applyFont="0" applyFill="0" applyBorder="0" applyAlignment="0" applyProtection="0"/>
    <xf numFmtId="0" fontId="84" fillId="29" borderId="0" applyNumberFormat="0" applyBorder="0" applyAlignment="0" applyProtection="0"/>
    <xf numFmtId="0" fontId="85" fillId="26" borderId="51" applyNumberFormat="0" applyAlignment="0" applyProtection="0"/>
    <xf numFmtId="0" fontId="86" fillId="27" borderId="51" applyNumberFormat="0" applyAlignment="0" applyProtection="0"/>
    <xf numFmtId="0" fontId="72" fillId="0" borderId="0"/>
    <xf numFmtId="0" fontId="87" fillId="0" borderId="0"/>
  </cellStyleXfs>
  <cellXfs count="505">
    <xf numFmtId="0" fontId="0" fillId="0" borderId="0" xfId="0"/>
    <xf numFmtId="0" fontId="3" fillId="2" borderId="2" xfId="0" applyFont="1" applyFill="1" applyBorder="1" applyAlignment="1">
      <alignment horizontal="center" vertical="center" wrapText="1" readingOrder="1"/>
    </xf>
    <xf numFmtId="164" fontId="3" fillId="2" borderId="2" xfId="0" applyNumberFormat="1" applyFont="1" applyFill="1" applyBorder="1" applyAlignment="1">
      <alignment horizontal="right" vertical="center" wrapText="1" readingOrder="1"/>
    </xf>
    <xf numFmtId="0" fontId="4" fillId="0" borderId="0" xfId="0" applyFont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/>
    <xf numFmtId="0" fontId="5" fillId="2" borderId="2" xfId="0" applyFont="1" applyFill="1" applyBorder="1"/>
    <xf numFmtId="164" fontId="3" fillId="2" borderId="2" xfId="0" applyNumberFormat="1" applyFont="1" applyFill="1" applyBorder="1"/>
    <xf numFmtId="164" fontId="5" fillId="2" borderId="2" xfId="0" applyNumberFormat="1" applyFont="1" applyFill="1" applyBorder="1"/>
    <xf numFmtId="0" fontId="6" fillId="0" borderId="0" xfId="0" applyFont="1"/>
    <xf numFmtId="4" fontId="4" fillId="0" borderId="0" xfId="0" applyNumberFormat="1" applyFont="1"/>
    <xf numFmtId="0" fontId="4" fillId="0" borderId="0" xfId="0" applyFont="1" applyBorder="1"/>
    <xf numFmtId="164" fontId="4" fillId="0" borderId="0" xfId="1" applyNumberFormat="1" applyFont="1"/>
    <xf numFmtId="0" fontId="0" fillId="0" borderId="0" xfId="0" applyAlignment="1"/>
    <xf numFmtId="0" fontId="7" fillId="0" borderId="0" xfId="0" applyFont="1"/>
    <xf numFmtId="0" fontId="3" fillId="2" borderId="2" xfId="0" applyFont="1" applyFill="1" applyBorder="1" applyAlignment="1">
      <alignment horizontal="left" vertical="center" wrapText="1" readingOrder="1"/>
    </xf>
    <xf numFmtId="0" fontId="4" fillId="0" borderId="0" xfId="0" applyFont="1" applyAlignment="1">
      <alignment vertical="center" wrapText="1"/>
    </xf>
    <xf numFmtId="0" fontId="8" fillId="0" borderId="0" xfId="0" applyFont="1" applyFill="1" applyBorder="1" applyAlignment="1">
      <alignment horizontal="left" vertical="top" readingOrder="1"/>
    </xf>
    <xf numFmtId="0" fontId="3" fillId="2" borderId="2" xfId="0" applyFont="1" applyFill="1" applyBorder="1"/>
    <xf numFmtId="0" fontId="9" fillId="0" borderId="0" xfId="0" applyFont="1"/>
    <xf numFmtId="0" fontId="10" fillId="0" borderId="0" xfId="0" applyFont="1"/>
    <xf numFmtId="0" fontId="3" fillId="2" borderId="2" xfId="0" applyFont="1" applyFill="1" applyBorder="1" applyAlignment="1">
      <alignment horizontal="left" vertical="top" readingOrder="1"/>
    </xf>
    <xf numFmtId="0" fontId="3" fillId="2" borderId="2" xfId="0" applyFont="1" applyFill="1" applyBorder="1" applyAlignment="1">
      <alignment horizontal="center" vertical="top" readingOrder="1"/>
    </xf>
    <xf numFmtId="164" fontId="11" fillId="0" borderId="0" xfId="0" applyNumberFormat="1" applyFont="1" applyBorder="1" applyAlignment="1">
      <alignment horizontal="right" readingOrder="1"/>
    </xf>
    <xf numFmtId="164" fontId="12" fillId="0" borderId="0" xfId="0" applyNumberFormat="1" applyFont="1"/>
    <xf numFmtId="164" fontId="4" fillId="0" borderId="0" xfId="0" applyNumberFormat="1" applyFont="1" applyBorder="1" applyAlignment="1">
      <alignment horizontal="right"/>
    </xf>
    <xf numFmtId="164" fontId="4" fillId="0" borderId="0" xfId="0" applyNumberFormat="1" applyFont="1" applyBorder="1"/>
    <xf numFmtId="0" fontId="3" fillId="2" borderId="0" xfId="0" applyFont="1" applyFill="1"/>
    <xf numFmtId="0" fontId="3" fillId="0" borderId="0" xfId="0" applyFont="1" applyFill="1" applyBorder="1"/>
    <xf numFmtId="0" fontId="4" fillId="0" borderId="0" xfId="0" applyFont="1" applyFill="1" applyBorder="1"/>
    <xf numFmtId="0" fontId="5" fillId="2" borderId="0" xfId="0" applyFont="1" applyFill="1"/>
    <xf numFmtId="0" fontId="5" fillId="0" borderId="0" xfId="0" applyFont="1" applyFill="1" applyBorder="1"/>
    <xf numFmtId="0" fontId="3" fillId="2" borderId="2" xfId="0" applyFont="1" applyFill="1" applyBorder="1" applyAlignment="1">
      <alignment horizontal="center" vertical="center" readingOrder="1"/>
    </xf>
    <xf numFmtId="0" fontId="3" fillId="2" borderId="21" xfId="113" applyFont="1" applyFill="1" applyBorder="1" applyAlignment="1">
      <alignment horizontal="center" vertical="center" wrapText="1"/>
    </xf>
    <xf numFmtId="0" fontId="3" fillId="2" borderId="2" xfId="113" applyFont="1" applyFill="1" applyBorder="1" applyAlignment="1">
      <alignment vertical="top" readingOrder="1"/>
    </xf>
    <xf numFmtId="0" fontId="3" fillId="2" borderId="2" xfId="113" applyFont="1" applyFill="1" applyBorder="1" applyAlignment="1">
      <alignment horizontal="center" vertical="top" readingOrder="1"/>
    </xf>
    <xf numFmtId="0" fontId="3" fillId="2" borderId="22" xfId="113" applyFont="1" applyFill="1" applyBorder="1" applyAlignment="1">
      <alignment horizontal="center" vertical="center" wrapText="1"/>
    </xf>
    <xf numFmtId="0" fontId="3" fillId="2" borderId="22" xfId="113" applyFont="1" applyFill="1" applyBorder="1" applyAlignment="1">
      <alignment horizontal="center" vertical="center" wrapText="1" readingOrder="1"/>
    </xf>
    <xf numFmtId="0" fontId="56" fillId="0" borderId="0" xfId="113" applyFont="1" applyBorder="1" applyAlignment="1">
      <alignment vertical="top" readingOrder="1"/>
    </xf>
    <xf numFmtId="3" fontId="56" fillId="0" borderId="0" xfId="113" applyNumberFormat="1" applyFont="1" applyBorder="1" applyAlignment="1">
      <alignment vertical="top" readingOrder="1"/>
    </xf>
    <xf numFmtId="10" fontId="56" fillId="0" borderId="0" xfId="113" applyNumberFormat="1" applyFont="1" applyBorder="1" applyAlignment="1">
      <alignment vertical="top" readingOrder="1"/>
    </xf>
    <xf numFmtId="3" fontId="3" fillId="2" borderId="2" xfId="113" applyNumberFormat="1" applyFont="1" applyFill="1" applyBorder="1" applyAlignment="1">
      <alignment vertical="top" readingOrder="1"/>
    </xf>
    <xf numFmtId="0" fontId="4" fillId="0" borderId="0" xfId="0" applyFont="1" applyAlignment="1">
      <alignment horizontal="center"/>
    </xf>
    <xf numFmtId="0" fontId="4" fillId="0" borderId="0" xfId="113" applyFont="1"/>
    <xf numFmtId="3" fontId="4" fillId="0" borderId="0" xfId="113" applyNumberFormat="1" applyFont="1"/>
    <xf numFmtId="10" fontId="4" fillId="0" borderId="0" xfId="113" applyNumberFormat="1" applyFont="1" applyAlignment="1"/>
    <xf numFmtId="0" fontId="58" fillId="0" borderId="0" xfId="119" applyFont="1"/>
    <xf numFmtId="164" fontId="9" fillId="0" borderId="0" xfId="0" applyNumberFormat="1" applyFont="1"/>
    <xf numFmtId="9" fontId="9" fillId="0" borderId="0" xfId="1" applyFont="1"/>
    <xf numFmtId="0" fontId="3" fillId="2" borderId="4" xfId="0" applyFont="1" applyFill="1" applyBorder="1"/>
    <xf numFmtId="4" fontId="3" fillId="2" borderId="4" xfId="0" applyNumberFormat="1" applyFont="1" applyFill="1" applyBorder="1"/>
    <xf numFmtId="0" fontId="3" fillId="2" borderId="5" xfId="0" applyFont="1" applyFill="1" applyBorder="1"/>
    <xf numFmtId="4" fontId="3" fillId="2" borderId="5" xfId="0" applyNumberFormat="1" applyFont="1" applyFill="1" applyBorder="1"/>
    <xf numFmtId="0" fontId="5" fillId="2" borderId="5" xfId="0" applyFont="1" applyFill="1" applyBorder="1"/>
    <xf numFmtId="0" fontId="3" fillId="2" borderId="0" xfId="0" applyFont="1" applyFill="1" applyBorder="1" applyAlignment="1">
      <alignment horizontal="center" vertical="center" wrapText="1" readingOrder="1"/>
    </xf>
    <xf numFmtId="0" fontId="59" fillId="2" borderId="2" xfId="0" applyFont="1" applyFill="1" applyBorder="1" applyAlignment="1">
      <alignment horizontal="center" vertical="top" readingOrder="1"/>
    </xf>
    <xf numFmtId="0" fontId="59" fillId="2" borderId="2" xfId="0" applyFont="1" applyFill="1" applyBorder="1" applyAlignment="1">
      <alignment horizontal="center" vertical="top" wrapText="1" readingOrder="1"/>
    </xf>
    <xf numFmtId="9" fontId="4" fillId="0" borderId="0" xfId="1" applyFont="1"/>
    <xf numFmtId="9" fontId="4" fillId="0" borderId="0" xfId="0" applyNumberFormat="1" applyFont="1"/>
    <xf numFmtId="0" fontId="61" fillId="0" borderId="0" xfId="114" applyFont="1" applyBorder="1"/>
    <xf numFmtId="0" fontId="60" fillId="0" borderId="0" xfId="114" applyFont="1" applyBorder="1" applyAlignment="1">
      <alignment horizontal="center"/>
    </xf>
    <xf numFmtId="3" fontId="60" fillId="0" borderId="0" xfId="114" applyNumberFormat="1" applyFont="1" applyBorder="1" applyAlignment="1">
      <alignment horizontal="center"/>
    </xf>
    <xf numFmtId="9" fontId="60" fillId="0" borderId="0" xfId="1" applyFont="1" applyBorder="1" applyAlignment="1">
      <alignment horizontal="center"/>
    </xf>
    <xf numFmtId="0" fontId="60" fillId="0" borderId="0" xfId="114" applyFont="1" applyBorder="1" applyAlignment="1">
      <alignment horizontal="left"/>
    </xf>
    <xf numFmtId="0" fontId="60" fillId="0" borderId="0" xfId="114" applyFont="1" applyBorder="1"/>
    <xf numFmtId="3" fontId="60" fillId="0" borderId="0" xfId="114" applyNumberFormat="1" applyFont="1" applyBorder="1" applyAlignment="1">
      <alignment horizontal="right"/>
    </xf>
    <xf numFmtId="3" fontId="61" fillId="0" borderId="0" xfId="114" applyNumberFormat="1" applyFont="1" applyBorder="1"/>
    <xf numFmtId="9" fontId="61" fillId="0" borderId="0" xfId="1" applyFont="1" applyBorder="1"/>
    <xf numFmtId="0" fontId="61" fillId="0" borderId="0" xfId="114" applyFont="1" applyBorder="1" applyAlignment="1">
      <alignment horizontal="center"/>
    </xf>
    <xf numFmtId="3" fontId="61" fillId="0" borderId="0" xfId="127" applyNumberFormat="1" applyFont="1" applyFill="1" applyBorder="1" applyAlignment="1">
      <alignment horizontal="right"/>
    </xf>
    <xf numFmtId="9" fontId="61" fillId="0" borderId="0" xfId="1" applyFont="1" applyFill="1" applyBorder="1" applyAlignment="1">
      <alignment horizontal="right"/>
    </xf>
    <xf numFmtId="3" fontId="60" fillId="0" borderId="5" xfId="127" applyNumberFormat="1" applyFont="1" applyFill="1" applyBorder="1" applyAlignment="1">
      <alignment horizontal="right"/>
    </xf>
    <xf numFmtId="9" fontId="60" fillId="0" borderId="5" xfId="1" applyFont="1" applyFill="1" applyBorder="1" applyAlignment="1">
      <alignment horizontal="right"/>
    </xf>
    <xf numFmtId="0" fontId="61" fillId="0" borderId="24" xfId="114" applyFont="1" applyBorder="1" applyAlignment="1">
      <alignment horizontal="center"/>
    </xf>
    <xf numFmtId="3" fontId="4" fillId="0" borderId="0" xfId="0" applyNumberFormat="1" applyFont="1"/>
    <xf numFmtId="0" fontId="59" fillId="2" borderId="25" xfId="0" applyFont="1" applyFill="1" applyBorder="1" applyAlignment="1">
      <alignment horizontal="center" vertical="top" readingOrder="1"/>
    </xf>
    <xf numFmtId="0" fontId="63" fillId="0" borderId="26" xfId="0" applyFont="1" applyBorder="1" applyAlignment="1">
      <alignment horizontal="justify" vertical="top" readingOrder="1"/>
    </xf>
    <xf numFmtId="3" fontId="64" fillId="0" borderId="27" xfId="0" applyNumberFormat="1" applyFont="1" applyFill="1" applyBorder="1" applyAlignment="1">
      <alignment horizontal="center" vertical="top"/>
    </xf>
    <xf numFmtId="0" fontId="59" fillId="2" borderId="25" xfId="0" applyFont="1" applyFill="1" applyBorder="1" applyAlignment="1">
      <alignment horizontal="justify" vertical="top" readingOrder="1"/>
    </xf>
    <xf numFmtId="3" fontId="65" fillId="2" borderId="25" xfId="0" applyNumberFormat="1" applyFont="1" applyFill="1" applyBorder="1" applyAlignment="1">
      <alignment horizontal="center" vertical="top" readingOrder="1"/>
    </xf>
    <xf numFmtId="0" fontId="4" fillId="0" borderId="28" xfId="0" applyFont="1" applyBorder="1"/>
    <xf numFmtId="0" fontId="4" fillId="0" borderId="30" xfId="0" applyFont="1" applyBorder="1"/>
    <xf numFmtId="0" fontId="4" fillId="0" borderId="32" xfId="0" applyFont="1" applyBorder="1"/>
    <xf numFmtId="0" fontId="58" fillId="10" borderId="0" xfId="0" applyFont="1" applyFill="1"/>
    <xf numFmtId="0" fontId="57" fillId="10" borderId="0" xfId="0" applyFont="1" applyFill="1" applyAlignment="1">
      <alignment horizontal="right"/>
    </xf>
    <xf numFmtId="0" fontId="58" fillId="10" borderId="0" xfId="0" applyFont="1" applyFill="1" applyBorder="1"/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0" fontId="57" fillId="10" borderId="0" xfId="0" applyFont="1" applyFill="1"/>
    <xf numFmtId="0" fontId="57" fillId="10" borderId="7" xfId="0" applyFont="1" applyFill="1" applyBorder="1"/>
    <xf numFmtId="4" fontId="58" fillId="10" borderId="7" xfId="0" applyNumberFormat="1" applyFont="1" applyFill="1" applyBorder="1"/>
    <xf numFmtId="0" fontId="3" fillId="2" borderId="34" xfId="0" applyFont="1" applyFill="1" applyBorder="1"/>
    <xf numFmtId="4" fontId="5" fillId="2" borderId="14" xfId="0" applyNumberFormat="1" applyFont="1" applyFill="1" applyBorder="1"/>
    <xf numFmtId="4" fontId="5" fillId="2" borderId="7" xfId="0" applyNumberFormat="1" applyFont="1" applyFill="1" applyBorder="1"/>
    <xf numFmtId="0" fontId="57" fillId="10" borderId="0" xfId="0" applyFont="1" applyFill="1" applyBorder="1"/>
    <xf numFmtId="0" fontId="57" fillId="10" borderId="0" xfId="0" applyFont="1" applyFill="1" applyAlignment="1">
      <alignment horizontal="center"/>
    </xf>
    <xf numFmtId="9" fontId="57" fillId="10" borderId="7" xfId="0" applyNumberFormat="1" applyFont="1" applyFill="1" applyBorder="1" applyAlignment="1">
      <alignment horizontal="center"/>
    </xf>
    <xf numFmtId="9" fontId="57" fillId="10" borderId="0" xfId="0" applyNumberFormat="1" applyFont="1" applyFill="1" applyAlignment="1">
      <alignment horizontal="center"/>
    </xf>
    <xf numFmtId="40" fontId="57" fillId="10" borderId="7" xfId="0" applyNumberFormat="1" applyFont="1" applyFill="1" applyBorder="1" applyAlignment="1">
      <alignment horizontal="center"/>
    </xf>
    <xf numFmtId="0" fontId="57" fillId="10" borderId="35" xfId="0" applyFont="1" applyFill="1" applyBorder="1"/>
    <xf numFmtId="0" fontId="57" fillId="10" borderId="12" xfId="0" applyFont="1" applyFill="1" applyBorder="1"/>
    <xf numFmtId="1" fontId="57" fillId="10" borderId="16" xfId="0" applyNumberFormat="1" applyFont="1" applyFill="1" applyBorder="1" applyAlignment="1">
      <alignment horizontal="right"/>
    </xf>
    <xf numFmtId="0" fontId="57" fillId="10" borderId="15" xfId="0" applyFont="1" applyFill="1" applyBorder="1"/>
    <xf numFmtId="1" fontId="57" fillId="10" borderId="36" xfId="0" applyNumberFormat="1" applyFont="1" applyFill="1" applyBorder="1"/>
    <xf numFmtId="0" fontId="57" fillId="10" borderId="37" xfId="0" applyFont="1" applyFill="1" applyBorder="1"/>
    <xf numFmtId="10" fontId="57" fillId="10" borderId="7" xfId="1" applyNumberFormat="1" applyFont="1" applyFill="1" applyBorder="1" applyAlignment="1">
      <alignment horizontal="center"/>
    </xf>
    <xf numFmtId="2" fontId="57" fillId="10" borderId="7" xfId="1" applyNumberFormat="1" applyFont="1" applyFill="1" applyBorder="1" applyAlignment="1">
      <alignment horizontal="center"/>
    </xf>
    <xf numFmtId="164" fontId="14" fillId="11" borderId="23" xfId="97" applyNumberFormat="1" applyFont="1" applyFill="1" applyBorder="1" applyAlignment="1">
      <alignment horizontal="right"/>
    </xf>
    <xf numFmtId="10" fontId="14" fillId="11" borderId="38" xfId="0" applyNumberFormat="1" applyFont="1" applyFill="1" applyBorder="1" applyAlignment="1">
      <alignment horizontal="right"/>
    </xf>
    <xf numFmtId="4" fontId="14" fillId="11" borderId="38" xfId="91" applyNumberFormat="1" applyFont="1" applyFill="1" applyBorder="1" applyAlignment="1">
      <alignment horizontal="right"/>
    </xf>
    <xf numFmtId="14" fontId="14" fillId="11" borderId="39" xfId="0" applyNumberFormat="1" applyFont="1" applyFill="1" applyBorder="1" applyAlignment="1">
      <alignment horizontal="right"/>
    </xf>
    <xf numFmtId="0" fontId="0" fillId="0" borderId="0" xfId="0" pivotButton="1"/>
    <xf numFmtId="3" fontId="65" fillId="2" borderId="25" xfId="0" applyNumberFormat="1" applyFont="1" applyFill="1" applyBorder="1" applyAlignment="1">
      <alignment horizontal="right" vertical="top" readingOrder="1"/>
    </xf>
    <xf numFmtId="0" fontId="60" fillId="0" borderId="21" xfId="114" applyFont="1" applyBorder="1" applyAlignment="1"/>
    <xf numFmtId="164" fontId="12" fillId="12" borderId="0" xfId="0" applyNumberFormat="1" applyFont="1" applyFill="1"/>
    <xf numFmtId="0" fontId="12" fillId="12" borderId="0" xfId="0" applyFont="1" applyFill="1"/>
    <xf numFmtId="164" fontId="4" fillId="0" borderId="0" xfId="0" applyNumberFormat="1" applyFont="1" applyFill="1"/>
    <xf numFmtId="164" fontId="3" fillId="2" borderId="3" xfId="0" applyNumberFormat="1" applyFont="1" applyFill="1" applyBorder="1"/>
    <xf numFmtId="0" fontId="60" fillId="0" borderId="0" xfId="114" applyFont="1" applyBorder="1" applyAlignment="1"/>
    <xf numFmtId="0" fontId="60" fillId="0" borderId="42" xfId="114" applyFont="1" applyBorder="1" applyAlignment="1">
      <alignment vertical="center"/>
    </xf>
    <xf numFmtId="0" fontId="60" fillId="0" borderId="42" xfId="114" applyFont="1" applyBorder="1" applyAlignment="1">
      <alignment vertical="center" wrapText="1"/>
    </xf>
    <xf numFmtId="0" fontId="60" fillId="0" borderId="42" xfId="114" applyFont="1" applyBorder="1" applyAlignment="1">
      <alignment horizontal="center" vertical="center" wrapText="1"/>
    </xf>
    <xf numFmtId="3" fontId="60" fillId="0" borderId="42" xfId="114" quotePrefix="1" applyNumberFormat="1" applyFont="1" applyBorder="1" applyAlignment="1">
      <alignment horizontal="center" vertical="center" wrapText="1"/>
    </xf>
    <xf numFmtId="3" fontId="60" fillId="0" borderId="42" xfId="114" applyNumberFormat="1" applyFont="1" applyBorder="1" applyAlignment="1">
      <alignment horizontal="center" vertical="center" wrapText="1"/>
    </xf>
    <xf numFmtId="0" fontId="61" fillId="0" borderId="0" xfId="114" applyFont="1" applyBorder="1" applyAlignment="1">
      <alignment wrapText="1"/>
    </xf>
    <xf numFmtId="0" fontId="60" fillId="0" borderId="24" xfId="114" applyFont="1" applyBorder="1" applyAlignment="1"/>
    <xf numFmtId="0" fontId="60" fillId="0" borderId="24" xfId="114" applyFont="1" applyBorder="1" applyAlignment="1">
      <alignment horizontal="center"/>
    </xf>
    <xf numFmtId="3" fontId="60" fillId="0" borderId="24" xfId="114" applyNumberFormat="1" applyFont="1" applyBorder="1" applyAlignment="1">
      <alignment horizontal="right"/>
    </xf>
    <xf numFmtId="3" fontId="61" fillId="0" borderId="0" xfId="114" applyNumberFormat="1" applyFont="1" applyBorder="1" applyAlignment="1">
      <alignment horizontal="right"/>
    </xf>
    <xf numFmtId="9" fontId="61" fillId="0" borderId="0" xfId="1" applyFont="1" applyBorder="1" applyAlignment="1">
      <alignment horizontal="right"/>
    </xf>
    <xf numFmtId="9" fontId="61" fillId="0" borderId="24" xfId="1" applyFont="1" applyFill="1" applyBorder="1" applyAlignment="1">
      <alignment horizontal="right"/>
    </xf>
    <xf numFmtId="3" fontId="60" fillId="0" borderId="0" xfId="127" applyNumberFormat="1" applyFont="1" applyFill="1" applyBorder="1" applyAlignment="1">
      <alignment horizontal="right"/>
    </xf>
    <xf numFmtId="9" fontId="60" fillId="0" borderId="0" xfId="1" applyFont="1" applyFill="1" applyBorder="1" applyAlignment="1">
      <alignment horizontal="right"/>
    </xf>
    <xf numFmtId="3" fontId="61" fillId="0" borderId="24" xfId="127" applyNumberFormat="1" applyFont="1" applyFill="1" applyBorder="1" applyAlignment="1">
      <alignment horizontal="right"/>
    </xf>
    <xf numFmtId="0" fontId="60" fillId="0" borderId="42" xfId="114" applyFont="1" applyBorder="1" applyAlignment="1"/>
    <xf numFmtId="0" fontId="61" fillId="0" borderId="42" xfId="114" applyFont="1" applyBorder="1" applyAlignment="1">
      <alignment horizontal="center"/>
    </xf>
    <xf numFmtId="3" fontId="60" fillId="0" borderId="42" xfId="127" applyNumberFormat="1" applyFont="1" applyFill="1" applyBorder="1" applyAlignment="1">
      <alignment horizontal="right"/>
    </xf>
    <xf numFmtId="9" fontId="60" fillId="0" borderId="42" xfId="1" applyFont="1" applyFill="1" applyBorder="1" applyAlignment="1">
      <alignment horizontal="right"/>
    </xf>
    <xf numFmtId="0" fontId="68" fillId="0" borderId="0" xfId="114" applyFont="1" applyBorder="1"/>
    <xf numFmtId="3" fontId="68" fillId="0" borderId="0" xfId="114" applyNumberFormat="1" applyFont="1" applyBorder="1"/>
    <xf numFmtId="3" fontId="60" fillId="0" borderId="24" xfId="114" applyNumberFormat="1" applyFont="1" applyBorder="1" applyAlignment="1">
      <alignment horizontal="center"/>
    </xf>
    <xf numFmtId="3" fontId="61" fillId="0" borderId="24" xfId="114" applyNumberFormat="1" applyFont="1" applyBorder="1"/>
    <xf numFmtId="3" fontId="61" fillId="0" borderId="0" xfId="114" applyNumberFormat="1" applyFont="1" applyFill="1" applyBorder="1"/>
    <xf numFmtId="0" fontId="61" fillId="0" borderId="0" xfId="114" applyFont="1" applyFill="1" applyBorder="1"/>
    <xf numFmtId="0" fontId="7" fillId="0" borderId="3" xfId="0" applyFont="1" applyBorder="1"/>
    <xf numFmtId="0" fontId="4" fillId="0" borderId="21" xfId="0" applyFont="1" applyBorder="1"/>
    <xf numFmtId="3" fontId="4" fillId="0" borderId="21" xfId="0" applyNumberFormat="1" applyFont="1" applyBorder="1"/>
    <xf numFmtId="3" fontId="4" fillId="0" borderId="0" xfId="0" applyNumberFormat="1" applyFont="1" applyBorder="1"/>
    <xf numFmtId="0" fontId="4" fillId="0" borderId="24" xfId="0" applyFont="1" applyBorder="1"/>
    <xf numFmtId="3" fontId="4" fillId="0" borderId="24" xfId="0" applyNumberFormat="1" applyFont="1" applyBorder="1"/>
    <xf numFmtId="3" fontId="4" fillId="12" borderId="21" xfId="0" applyNumberFormat="1" applyFont="1" applyFill="1" applyBorder="1"/>
    <xf numFmtId="0" fontId="4" fillId="0" borderId="21" xfId="0" applyFont="1" applyFill="1" applyBorder="1"/>
    <xf numFmtId="3" fontId="4" fillId="12" borderId="0" xfId="0" applyNumberFormat="1" applyFont="1" applyFill="1" applyBorder="1"/>
    <xf numFmtId="0" fontId="4" fillId="0" borderId="24" xfId="0" applyFont="1" applyFill="1" applyBorder="1"/>
    <xf numFmtId="3" fontId="4" fillId="12" borderId="24" xfId="0" applyNumberFormat="1" applyFont="1" applyFill="1" applyBorder="1"/>
    <xf numFmtId="0" fontId="58" fillId="0" borderId="0" xfId="114" applyFont="1" applyBorder="1"/>
    <xf numFmtId="3" fontId="69" fillId="0" borderId="0" xfId="0" applyNumberFormat="1" applyFont="1"/>
    <xf numFmtId="0" fontId="4" fillId="0" borderId="43" xfId="0" applyFont="1" applyBorder="1"/>
    <xf numFmtId="0" fontId="4" fillId="0" borderId="43" xfId="0" applyFont="1" applyFill="1" applyBorder="1"/>
    <xf numFmtId="3" fontId="4" fillId="0" borderId="43" xfId="0" applyNumberFormat="1" applyFont="1" applyBorder="1"/>
    <xf numFmtId="0" fontId="4" fillId="0" borderId="6" xfId="0" applyFont="1" applyBorder="1"/>
    <xf numFmtId="0" fontId="4" fillId="0" borderId="6" xfId="0" applyFont="1" applyFill="1" applyBorder="1"/>
    <xf numFmtId="3" fontId="4" fillId="0" borderId="6" xfId="0" applyNumberFormat="1" applyFont="1" applyBorder="1"/>
    <xf numFmtId="0" fontId="57" fillId="0" borderId="6" xfId="0" applyFont="1" applyBorder="1"/>
    <xf numFmtId="0" fontId="62" fillId="0" borderId="0" xfId="0" applyFont="1" applyAlignment="1">
      <alignment horizontal="left" indent="1"/>
    </xf>
    <xf numFmtId="164" fontId="7" fillId="0" borderId="0" xfId="0" applyNumberFormat="1" applyFont="1"/>
    <xf numFmtId="164" fontId="62" fillId="0" borderId="0" xfId="0" applyNumberFormat="1" applyFont="1"/>
    <xf numFmtId="164" fontId="62" fillId="0" borderId="0" xfId="0" applyNumberFormat="1" applyFont="1" applyAlignment="1">
      <alignment horizontal="left" indent="1"/>
    </xf>
    <xf numFmtId="164" fontId="3" fillId="2" borderId="0" xfId="0" applyNumberFormat="1" applyFont="1" applyFill="1"/>
    <xf numFmtId="3" fontId="3" fillId="2" borderId="3" xfId="0" applyNumberFormat="1" applyFont="1" applyFill="1" applyBorder="1" applyAlignment="1">
      <alignment horizontal="center" vertical="center" wrapText="1"/>
    </xf>
    <xf numFmtId="0" fontId="70" fillId="0" borderId="0" xfId="0" applyFont="1"/>
    <xf numFmtId="164" fontId="71" fillId="0" borderId="0" xfId="0" applyNumberFormat="1" applyFont="1"/>
    <xf numFmtId="0" fontId="72" fillId="0" borderId="0" xfId="0" applyFont="1" applyAlignment="1"/>
    <xf numFmtId="0" fontId="73" fillId="2" borderId="40" xfId="0" applyFont="1" applyFill="1" applyBorder="1" applyAlignment="1">
      <alignment horizontal="center" vertical="top" readingOrder="1"/>
    </xf>
    <xf numFmtId="0" fontId="74" fillId="0" borderId="0" xfId="113" applyFont="1" applyBorder="1" applyAlignment="1">
      <alignment vertical="top" readingOrder="1"/>
    </xf>
    <xf numFmtId="164" fontId="74" fillId="0" borderId="0" xfId="0" applyNumberFormat="1" applyFont="1" applyBorder="1" applyAlignment="1">
      <alignment horizontal="right" vertical="center" readingOrder="1"/>
    </xf>
    <xf numFmtId="0" fontId="73" fillId="2" borderId="41" xfId="0" applyFont="1" applyFill="1" applyBorder="1" applyAlignment="1">
      <alignment horizontal="justify" vertical="top" readingOrder="1"/>
    </xf>
    <xf numFmtId="0" fontId="4" fillId="0" borderId="0" xfId="0" applyFont="1" applyAlignment="1">
      <alignment wrapText="1"/>
    </xf>
    <xf numFmtId="164" fontId="73" fillId="2" borderId="41" xfId="0" applyNumberFormat="1" applyFont="1" applyFill="1" applyBorder="1" applyAlignment="1">
      <alignment horizontal="right" vertical="top" readingOrder="1"/>
    </xf>
    <xf numFmtId="10" fontId="4" fillId="0" borderId="0" xfId="0" applyNumberFormat="1" applyFont="1"/>
    <xf numFmtId="164" fontId="4" fillId="0" borderId="0" xfId="0" applyNumberFormat="1" applyFont="1" applyAlignment="1"/>
    <xf numFmtId="10" fontId="12" fillId="0" borderId="0" xfId="0" applyNumberFormat="1" applyFont="1"/>
    <xf numFmtId="3" fontId="7" fillId="0" borderId="0" xfId="0" applyNumberFormat="1" applyFont="1"/>
    <xf numFmtId="10" fontId="9" fillId="0" borderId="0" xfId="113" applyNumberFormat="1" applyFont="1"/>
    <xf numFmtId="3" fontId="9" fillId="0" borderId="0" xfId="113" applyNumberFormat="1" applyFont="1"/>
    <xf numFmtId="0" fontId="9" fillId="0" borderId="0" xfId="113" applyFont="1"/>
    <xf numFmtId="0" fontId="77" fillId="14" borderId="0" xfId="113" applyFont="1" applyFill="1" applyBorder="1" applyAlignment="1">
      <alignment vertical="top" readingOrder="1"/>
    </xf>
    <xf numFmtId="164" fontId="78" fillId="14" borderId="0" xfId="0" applyNumberFormat="1" applyFont="1" applyFill="1" applyBorder="1" applyAlignment="1">
      <alignment horizontal="right" vertical="center" readingOrder="1"/>
    </xf>
    <xf numFmtId="10" fontId="72" fillId="0" borderId="0" xfId="0" applyNumberFormat="1" applyFont="1" applyAlignment="1"/>
    <xf numFmtId="3" fontId="3" fillId="2" borderId="5" xfId="0" applyNumberFormat="1" applyFont="1" applyFill="1" applyBorder="1"/>
    <xf numFmtId="3" fontId="0" fillId="0" borderId="0" xfId="0" applyNumberFormat="1"/>
    <xf numFmtId="0" fontId="3" fillId="0" borderId="0" xfId="0" applyFont="1" applyFill="1" applyBorder="1" applyAlignment="1"/>
    <xf numFmtId="0" fontId="4" fillId="2" borderId="0" xfId="0" applyFont="1" applyFill="1"/>
    <xf numFmtId="3" fontId="3" fillId="2" borderId="4" xfId="0" applyNumberFormat="1" applyFont="1" applyFill="1" applyBorder="1"/>
    <xf numFmtId="164" fontId="72" fillId="0" borderId="0" xfId="0" applyNumberFormat="1" applyFont="1" applyAlignment="1"/>
    <xf numFmtId="164" fontId="62" fillId="0" borderId="0" xfId="0" applyNumberFormat="1" applyFont="1" applyAlignment="1">
      <alignment horizontal="right"/>
    </xf>
    <xf numFmtId="164" fontId="4" fillId="17" borderId="0" xfId="0" applyNumberFormat="1" applyFont="1" applyFill="1" applyAlignment="1">
      <alignment horizontal="right"/>
    </xf>
    <xf numFmtId="164" fontId="62" fillId="17" borderId="0" xfId="0" applyNumberFormat="1" applyFont="1" applyFill="1" applyAlignment="1">
      <alignment horizontal="right"/>
    </xf>
    <xf numFmtId="3" fontId="79" fillId="0" borderId="0" xfId="0" applyNumberFormat="1" applyFont="1"/>
    <xf numFmtId="0" fontId="4" fillId="18" borderId="24" xfId="0" applyFont="1" applyFill="1" applyBorder="1"/>
    <xf numFmtId="0" fontId="4" fillId="18" borderId="21" xfId="0" applyFont="1" applyFill="1" applyBorder="1"/>
    <xf numFmtId="0" fontId="4" fillId="18" borderId="0" xfId="0" applyFont="1" applyFill="1" applyBorder="1"/>
    <xf numFmtId="0" fontId="4" fillId="13" borderId="0" xfId="0" applyFont="1" applyFill="1" applyBorder="1"/>
    <xf numFmtId="0" fontId="4" fillId="13" borderId="43" xfId="0" applyFont="1" applyFill="1" applyBorder="1"/>
    <xf numFmtId="3" fontId="80" fillId="0" borderId="0" xfId="0" applyNumberFormat="1" applyFont="1"/>
    <xf numFmtId="3" fontId="12" fillId="0" borderId="0" xfId="0" applyNumberFormat="1" applyFont="1"/>
    <xf numFmtId="0" fontId="58" fillId="0" borderId="0" xfId="0" applyFont="1"/>
    <xf numFmtId="0" fontId="58" fillId="0" borderId="0" xfId="0" applyFont="1" applyAlignment="1">
      <alignment horizontal="right"/>
    </xf>
    <xf numFmtId="0" fontId="57" fillId="0" borderId="44" xfId="0" applyFont="1" applyFill="1" applyBorder="1" applyAlignment="1" applyProtection="1">
      <alignment horizontal="center" vertical="center" wrapText="1"/>
    </xf>
    <xf numFmtId="0" fontId="57" fillId="0" borderId="3" xfId="0" applyFont="1" applyFill="1" applyBorder="1" applyAlignment="1" applyProtection="1">
      <alignment horizontal="right" vertical="center"/>
    </xf>
    <xf numFmtId="0" fontId="57" fillId="0" borderId="3" xfId="0" applyFont="1" applyFill="1" applyBorder="1" applyAlignment="1" applyProtection="1">
      <alignment horizontal="right" vertical="center" wrapText="1"/>
    </xf>
    <xf numFmtId="0" fontId="57" fillId="0" borderId="45" xfId="0" applyFont="1" applyFill="1" applyBorder="1" applyAlignment="1" applyProtection="1">
      <alignment horizontal="right" vertical="center" wrapText="1"/>
    </xf>
    <xf numFmtId="0" fontId="58" fillId="0" borderId="0" xfId="0" applyFont="1" applyAlignment="1">
      <alignment vertical="center"/>
    </xf>
    <xf numFmtId="0" fontId="58" fillId="0" borderId="0" xfId="0" applyFont="1" applyFill="1" applyBorder="1" applyAlignment="1">
      <alignment horizontal="center"/>
    </xf>
    <xf numFmtId="14" fontId="82" fillId="0" borderId="0" xfId="0" applyNumberFormat="1" applyFont="1" applyFill="1" applyAlignment="1">
      <alignment horizontal="left" wrapText="1"/>
    </xf>
    <xf numFmtId="1" fontId="82" fillId="0" borderId="0" xfId="0" applyNumberFormat="1" applyFont="1" applyFill="1" applyAlignment="1">
      <alignment horizontal="left" wrapText="1"/>
    </xf>
    <xf numFmtId="164" fontId="58" fillId="12" borderId="0" xfId="97" applyNumberFormat="1" applyFont="1" applyFill="1" applyBorder="1" applyAlignment="1">
      <alignment horizontal="right"/>
    </xf>
    <xf numFmtId="164" fontId="58" fillId="0" borderId="0" xfId="97" applyNumberFormat="1" applyFont="1" applyFill="1" applyBorder="1" applyAlignment="1"/>
    <xf numFmtId="0" fontId="58" fillId="13" borderId="0" xfId="0" applyFont="1" applyFill="1" applyBorder="1" applyAlignment="1">
      <alignment horizontal="center"/>
    </xf>
    <xf numFmtId="14" fontId="82" fillId="13" borderId="0" xfId="0" applyNumberFormat="1" applyFont="1" applyFill="1" applyAlignment="1">
      <alignment horizontal="left" wrapText="1"/>
    </xf>
    <xf numFmtId="1" fontId="82" fillId="13" borderId="0" xfId="0" applyNumberFormat="1" applyFont="1" applyFill="1" applyAlignment="1">
      <alignment horizontal="left" wrapText="1"/>
    </xf>
    <xf numFmtId="164" fontId="58" fillId="13" borderId="0" xfId="97" applyNumberFormat="1" applyFont="1" applyFill="1" applyBorder="1" applyAlignment="1">
      <alignment horizontal="right"/>
    </xf>
    <xf numFmtId="164" fontId="58" fillId="13" borderId="0" xfId="97" applyNumberFormat="1" applyFont="1" applyFill="1" applyBorder="1" applyAlignment="1"/>
    <xf numFmtId="164" fontId="58" fillId="0" borderId="0" xfId="97" applyNumberFormat="1" applyFont="1" applyFill="1" applyBorder="1" applyAlignment="1">
      <alignment horizontal="right"/>
    </xf>
    <xf numFmtId="1" fontId="0" fillId="0" borderId="0" xfId="0" applyNumberFormat="1" applyAlignment="1">
      <alignment horizontal="left"/>
    </xf>
    <xf numFmtId="0" fontId="0" fillId="0" borderId="0" xfId="0" applyNumberFormat="1"/>
    <xf numFmtId="164" fontId="9" fillId="0" borderId="0" xfId="97" applyNumberFormat="1" applyFont="1" applyFill="1" applyBorder="1" applyAlignment="1"/>
    <xf numFmtId="164" fontId="58" fillId="0" borderId="0" xfId="0" applyNumberFormat="1" applyFont="1" applyAlignment="1">
      <alignment horizontal="right"/>
    </xf>
    <xf numFmtId="0" fontId="81" fillId="25" borderId="46" xfId="0" applyFont="1" applyFill="1" applyBorder="1"/>
    <xf numFmtId="1" fontId="81" fillId="25" borderId="47" xfId="0" applyNumberFormat="1" applyFont="1" applyFill="1" applyBorder="1" applyAlignment="1">
      <alignment horizontal="left"/>
    </xf>
    <xf numFmtId="0" fontId="81" fillId="25" borderId="0" xfId="0" applyFont="1" applyFill="1"/>
    <xf numFmtId="0" fontId="0" fillId="0" borderId="0" xfId="0" applyFill="1"/>
    <xf numFmtId="0" fontId="58" fillId="0" borderId="0" xfId="0" applyFont="1" applyFill="1"/>
    <xf numFmtId="0" fontId="81" fillId="25" borderId="47" xfId="0" applyNumberFormat="1" applyFont="1" applyFill="1" applyBorder="1"/>
    <xf numFmtId="0" fontId="67" fillId="0" borderId="0" xfId="0" applyFont="1"/>
    <xf numFmtId="0" fontId="4" fillId="0" borderId="48" xfId="0" applyFont="1" applyBorder="1"/>
    <xf numFmtId="0" fontId="67" fillId="0" borderId="48" xfId="0" applyFont="1" applyBorder="1" applyAlignment="1">
      <alignment wrapText="1"/>
    </xf>
    <xf numFmtId="0" fontId="67" fillId="0" borderId="48" xfId="0" applyFont="1" applyBorder="1"/>
    <xf numFmtId="3" fontId="67" fillId="0" borderId="48" xfId="0" applyNumberFormat="1" applyFont="1" applyBorder="1"/>
    <xf numFmtId="0" fontId="4" fillId="0" borderId="49" xfId="0" applyFont="1" applyBorder="1"/>
    <xf numFmtId="164" fontId="4" fillId="0" borderId="29" xfId="0" applyNumberFormat="1" applyFont="1" applyBorder="1" applyAlignment="1">
      <alignment horizontal="right"/>
    </xf>
    <xf numFmtId="10" fontId="4" fillId="0" borderId="31" xfId="0" applyNumberFormat="1" applyFont="1" applyBorder="1" applyAlignment="1">
      <alignment horizontal="right"/>
    </xf>
    <xf numFmtId="0" fontId="4" fillId="0" borderId="31" xfId="0" applyFont="1" applyBorder="1" applyAlignment="1">
      <alignment horizontal="right"/>
    </xf>
    <xf numFmtId="0" fontId="4" fillId="0" borderId="50" xfId="0" applyFont="1" applyBorder="1" applyAlignment="1">
      <alignment horizontal="right"/>
    </xf>
    <xf numFmtId="164" fontId="4" fillId="0" borderId="31" xfId="0" applyNumberFormat="1" applyFont="1" applyBorder="1" applyAlignment="1">
      <alignment horizontal="right"/>
    </xf>
    <xf numFmtId="14" fontId="4" fillId="0" borderId="31" xfId="0" applyNumberFormat="1" applyFont="1" applyBorder="1" applyAlignment="1">
      <alignment horizontal="right"/>
    </xf>
    <xf numFmtId="164" fontId="4" fillId="0" borderId="33" xfId="0" applyNumberFormat="1" applyFont="1" applyBorder="1" applyAlignment="1">
      <alignment horizontal="right"/>
    </xf>
    <xf numFmtId="164" fontId="5" fillId="2" borderId="5" xfId="0" applyNumberFormat="1" applyFont="1" applyFill="1" applyBorder="1"/>
    <xf numFmtId="164" fontId="12" fillId="0" borderId="0" xfId="0" applyNumberFormat="1" applyFont="1" applyFill="1"/>
    <xf numFmtId="9" fontId="58" fillId="0" borderId="0" xfId="1" applyFont="1" applyAlignment="1">
      <alignment horizontal="right"/>
    </xf>
    <xf numFmtId="0" fontId="80" fillId="0" borderId="0" xfId="0" applyFont="1"/>
    <xf numFmtId="4" fontId="80" fillId="0" borderId="0" xfId="0" applyNumberFormat="1" applyFont="1"/>
    <xf numFmtId="10" fontId="80" fillId="0" borderId="0" xfId="0" applyNumberFormat="1" applyFont="1"/>
    <xf numFmtId="0" fontId="81" fillId="0" borderId="0" xfId="0" applyFont="1"/>
    <xf numFmtId="3" fontId="81" fillId="0" borderId="0" xfId="0" applyNumberFormat="1" applyFont="1"/>
    <xf numFmtId="0" fontId="62" fillId="0" borderId="0" xfId="0" applyFont="1"/>
    <xf numFmtId="0" fontId="88" fillId="2" borderId="0" xfId="0" applyFont="1" applyFill="1"/>
    <xf numFmtId="0" fontId="62" fillId="0" borderId="0" xfId="0" applyFont="1" applyFill="1"/>
    <xf numFmtId="0" fontId="88" fillId="2" borderId="3" xfId="0" applyFont="1" applyFill="1" applyBorder="1"/>
    <xf numFmtId="0" fontId="3" fillId="2" borderId="43" xfId="0" applyFont="1" applyFill="1" applyBorder="1" applyAlignment="1">
      <alignment vertical="center" wrapText="1" readingOrder="1"/>
    </xf>
    <xf numFmtId="3" fontId="7" fillId="0" borderId="42" xfId="0" applyNumberFormat="1" applyFont="1" applyBorder="1"/>
    <xf numFmtId="2" fontId="4" fillId="0" borderId="0" xfId="0" applyNumberFormat="1" applyFont="1"/>
    <xf numFmtId="186" fontId="4" fillId="0" borderId="0" xfId="0" applyNumberFormat="1" applyFont="1"/>
    <xf numFmtId="0" fontId="12" fillId="0" borderId="0" xfId="0" applyFont="1"/>
    <xf numFmtId="0" fontId="9" fillId="2" borderId="0" xfId="0" applyFont="1" applyFill="1"/>
    <xf numFmtId="9" fontId="12" fillId="0" borderId="0" xfId="1" applyFont="1"/>
    <xf numFmtId="9" fontId="12" fillId="0" borderId="0" xfId="1" applyFont="1" applyFill="1"/>
    <xf numFmtId="164" fontId="7" fillId="0" borderId="0" xfId="0" applyNumberFormat="1" applyFont="1" applyAlignment="1">
      <alignment horizontal="right"/>
    </xf>
    <xf numFmtId="164" fontId="7" fillId="17" borderId="0" xfId="0" applyNumberFormat="1" applyFont="1" applyFill="1" applyAlignment="1">
      <alignment horizontal="right"/>
    </xf>
    <xf numFmtId="3" fontId="80" fillId="0" borderId="0" xfId="0" applyNumberFormat="1" applyFont="1" applyAlignment="1"/>
    <xf numFmtId="0" fontId="89" fillId="0" borderId="0" xfId="113" applyFont="1" applyBorder="1" applyAlignment="1">
      <alignment vertical="top" readingOrder="1"/>
    </xf>
    <xf numFmtId="9" fontId="5" fillId="2" borderId="2" xfId="1" applyFont="1" applyFill="1" applyBorder="1"/>
    <xf numFmtId="171" fontId="9" fillId="0" borderId="0" xfId="0" applyNumberFormat="1" applyFont="1"/>
    <xf numFmtId="0" fontId="73" fillId="2" borderId="0" xfId="0" applyFont="1" applyFill="1" applyBorder="1" applyAlignment="1">
      <alignment horizontal="center" vertical="top" readingOrder="1"/>
    </xf>
    <xf numFmtId="3" fontId="9" fillId="0" borderId="0" xfId="0" applyNumberFormat="1" applyFont="1"/>
    <xf numFmtId="0" fontId="90" fillId="0" borderId="0" xfId="0" applyFont="1" applyAlignment="1"/>
    <xf numFmtId="164" fontId="90" fillId="0" borderId="0" xfId="0" applyNumberFormat="1" applyFont="1" applyAlignment="1"/>
    <xf numFmtId="0" fontId="3" fillId="2" borderId="42" xfId="0" applyFont="1" applyFill="1" applyBorder="1"/>
    <xf numFmtId="0" fontId="91" fillId="0" borderId="0" xfId="0" applyFont="1" applyAlignment="1"/>
    <xf numFmtId="3" fontId="58" fillId="10" borderId="7" xfId="0" applyNumberFormat="1" applyFont="1" applyFill="1" applyBorder="1"/>
    <xf numFmtId="3" fontId="58" fillId="10" borderId="0" xfId="0" applyNumberFormat="1" applyFont="1" applyFill="1"/>
    <xf numFmtId="4" fontId="58" fillId="10" borderId="0" xfId="0" applyNumberFormat="1" applyFont="1" applyFill="1"/>
    <xf numFmtId="186" fontId="12" fillId="0" borderId="0" xfId="0" applyNumberFormat="1" applyFont="1"/>
    <xf numFmtId="3" fontId="72" fillId="0" borderId="53" xfId="0" applyNumberFormat="1" applyFont="1" applyBorder="1" applyAlignment="1"/>
    <xf numFmtId="3" fontId="72" fillId="0" borderId="6" xfId="0" applyNumberFormat="1" applyFont="1" applyBorder="1" applyAlignment="1"/>
    <xf numFmtId="0" fontId="91" fillId="0" borderId="53" xfId="0" applyFont="1" applyBorder="1" applyAlignment="1"/>
    <xf numFmtId="0" fontId="91" fillId="0" borderId="6" xfId="0" applyFont="1" applyBorder="1" applyAlignment="1"/>
    <xf numFmtId="0" fontId="3" fillId="0" borderId="0" xfId="0" applyFont="1" applyFill="1" applyBorder="1" applyAlignment="1">
      <alignment horizontal="center" vertical="center" wrapText="1" readingOrder="1"/>
    </xf>
    <xf numFmtId="0" fontId="4" fillId="0" borderId="0" xfId="0" applyFont="1" applyFill="1"/>
    <xf numFmtId="3" fontId="4" fillId="0" borderId="0" xfId="1" applyNumberFormat="1" applyFont="1" applyFill="1"/>
    <xf numFmtId="4" fontId="4" fillId="0" borderId="0" xfId="1" applyNumberFormat="1" applyFont="1" applyFill="1"/>
    <xf numFmtId="3" fontId="4" fillId="0" borderId="0" xfId="1" applyNumberFormat="1" applyFont="1"/>
    <xf numFmtId="3" fontId="88" fillId="2" borderId="3" xfId="0" applyNumberFormat="1" applyFont="1" applyFill="1" applyBorder="1" applyAlignment="1">
      <alignment horizontal="right"/>
    </xf>
    <xf numFmtId="3" fontId="4" fillId="0" borderId="0" xfId="0" applyNumberFormat="1" applyFont="1" applyFill="1"/>
    <xf numFmtId="0" fontId="88" fillId="31" borderId="0" xfId="0" applyFont="1" applyFill="1"/>
    <xf numFmtId="0" fontId="3" fillId="31" borderId="0" xfId="0" applyFont="1" applyFill="1"/>
    <xf numFmtId="0" fontId="62" fillId="31" borderId="0" xfId="0" applyFont="1" applyFill="1"/>
    <xf numFmtId="9" fontId="4" fillId="31" borderId="0" xfId="1" applyFont="1" applyFill="1"/>
    <xf numFmtId="0" fontId="88" fillId="31" borderId="3" xfId="0" applyFont="1" applyFill="1" applyBorder="1"/>
    <xf numFmtId="164" fontId="3" fillId="31" borderId="3" xfId="0" applyNumberFormat="1" applyFont="1" applyFill="1" applyBorder="1"/>
    <xf numFmtId="0" fontId="58" fillId="30" borderId="0" xfId="0" applyFont="1" applyFill="1"/>
    <xf numFmtId="3" fontId="58" fillId="30" borderId="0" xfId="0" applyNumberFormat="1" applyFont="1" applyFill="1"/>
    <xf numFmtId="0" fontId="57" fillId="30" borderId="42" xfId="0" applyFont="1" applyFill="1" applyBorder="1"/>
    <xf numFmtId="3" fontId="57" fillId="30" borderId="42" xfId="0" applyNumberFormat="1" applyFont="1" applyFill="1" applyBorder="1"/>
    <xf numFmtId="0" fontId="57" fillId="30" borderId="2" xfId="0" applyFont="1" applyFill="1" applyBorder="1" applyAlignment="1">
      <alignment vertical="center" wrapText="1" readingOrder="1"/>
    </xf>
    <xf numFmtId="0" fontId="57" fillId="30" borderId="2" xfId="0" applyFont="1" applyFill="1" applyBorder="1" applyAlignment="1">
      <alignment horizontal="center" vertical="center" wrapText="1" readingOrder="1"/>
    </xf>
    <xf numFmtId="9" fontId="4" fillId="0" borderId="0" xfId="0" applyNumberFormat="1" applyFont="1" applyBorder="1"/>
    <xf numFmtId="0" fontId="93" fillId="32" borderId="54" xfId="0" applyFont="1" applyFill="1" applyBorder="1" applyAlignment="1">
      <alignment horizontal="justify"/>
    </xf>
    <xf numFmtId="0" fontId="94" fillId="2" borderId="54" xfId="0" applyFont="1" applyFill="1" applyBorder="1" applyAlignment="1">
      <alignment horizontal="center"/>
    </xf>
    <xf numFmtId="0" fontId="95" fillId="33" borderId="54" xfId="0" applyFont="1" applyFill="1" applyBorder="1" applyAlignment="1">
      <alignment horizontal="left"/>
    </xf>
    <xf numFmtId="0" fontId="96" fillId="33" borderId="54" xfId="0" applyFont="1" applyFill="1" applyBorder="1" applyAlignment="1">
      <alignment horizontal="left"/>
    </xf>
    <xf numFmtId="17" fontId="94" fillId="2" borderId="54" xfId="0" applyNumberFormat="1" applyFont="1" applyFill="1" applyBorder="1" applyAlignment="1">
      <alignment horizontal="center"/>
    </xf>
    <xf numFmtId="4" fontId="79" fillId="0" borderId="0" xfId="0" applyNumberFormat="1" applyFont="1"/>
    <xf numFmtId="10" fontId="7" fillId="12" borderId="0" xfId="1" applyNumberFormat="1" applyFont="1" applyFill="1"/>
    <xf numFmtId="10" fontId="61" fillId="0" borderId="0" xfId="1" applyNumberFormat="1" applyFont="1" applyBorder="1"/>
    <xf numFmtId="3" fontId="57" fillId="31" borderId="0" xfId="0" applyNumberFormat="1" applyFont="1" applyFill="1" applyBorder="1" applyAlignment="1">
      <alignment horizontal="right" vertical="center" wrapText="1" readingOrder="1"/>
    </xf>
    <xf numFmtId="0" fontId="57" fillId="31" borderId="2" xfId="0" applyFont="1" applyFill="1" applyBorder="1" applyAlignment="1">
      <alignment horizontal="center" vertical="center" wrapText="1" readingOrder="1"/>
    </xf>
    <xf numFmtId="0" fontId="57" fillId="31" borderId="0" xfId="0" applyFont="1" applyFill="1"/>
    <xf numFmtId="0" fontId="58" fillId="31" borderId="0" xfId="0" applyFont="1" applyFill="1"/>
    <xf numFmtId="0" fontId="57" fillId="31" borderId="0" xfId="0" applyFont="1" applyFill="1" applyBorder="1" applyAlignment="1">
      <alignment horizontal="center" vertical="center" wrapText="1" readingOrder="1"/>
    </xf>
    <xf numFmtId="3" fontId="58" fillId="31" borderId="0" xfId="0" applyNumberFormat="1" applyFont="1" applyFill="1"/>
    <xf numFmtId="0" fontId="57" fillId="31" borderId="42" xfId="0" applyFont="1" applyFill="1" applyBorder="1"/>
    <xf numFmtId="3" fontId="57" fillId="31" borderId="42" xfId="0" applyNumberFormat="1" applyFont="1" applyFill="1" applyBorder="1"/>
    <xf numFmtId="0" fontId="57" fillId="31" borderId="0" xfId="0" applyFont="1" applyFill="1" applyBorder="1"/>
    <xf numFmtId="3" fontId="57" fillId="31" borderId="0" xfId="0" applyNumberFormat="1" applyFont="1" applyFill="1" applyBorder="1"/>
    <xf numFmtId="0" fontId="57" fillId="31" borderId="2" xfId="0" applyFont="1" applyFill="1" applyBorder="1"/>
    <xf numFmtId="0" fontId="57" fillId="31" borderId="2" xfId="0" applyFont="1" applyFill="1" applyBorder="1" applyAlignment="1">
      <alignment horizontal="center"/>
    </xf>
    <xf numFmtId="0" fontId="58" fillId="31" borderId="0" xfId="0" applyFont="1" applyFill="1" applyBorder="1" applyAlignment="1">
      <alignment horizontal="left" vertical="top" wrapText="1" readingOrder="1"/>
    </xf>
    <xf numFmtId="3" fontId="8" fillId="31" borderId="0" xfId="0" applyNumberFormat="1" applyFont="1" applyFill="1" applyBorder="1" applyAlignment="1">
      <alignment horizontal="center" vertical="top"/>
    </xf>
    <xf numFmtId="0" fontId="58" fillId="31" borderId="0" xfId="0" applyFont="1" applyFill="1" applyBorder="1" applyAlignment="1">
      <alignment horizontal="left" vertical="top" readingOrder="1"/>
    </xf>
    <xf numFmtId="3" fontId="58" fillId="31" borderId="0" xfId="0" applyNumberFormat="1" applyFont="1" applyFill="1" applyBorder="1" applyAlignment="1">
      <alignment horizontal="center" vertical="top" wrapText="1" readingOrder="1"/>
    </xf>
    <xf numFmtId="0" fontId="58" fillId="31" borderId="6" xfId="0" applyFont="1" applyFill="1" applyBorder="1" applyAlignment="1">
      <alignment horizontal="left" vertical="top" readingOrder="1"/>
    </xf>
    <xf numFmtId="3" fontId="58" fillId="31" borderId="6" xfId="0" applyNumberFormat="1" applyFont="1" applyFill="1" applyBorder="1" applyAlignment="1">
      <alignment horizontal="center" vertical="top" wrapText="1" readingOrder="1"/>
    </xf>
    <xf numFmtId="0" fontId="4" fillId="30" borderId="0" xfId="0" applyFont="1" applyFill="1"/>
    <xf numFmtId="3" fontId="4" fillId="30" borderId="0" xfId="0" applyNumberFormat="1" applyFont="1" applyFill="1"/>
    <xf numFmtId="0" fontId="7" fillId="30" borderId="42" xfId="0" applyFont="1" applyFill="1" applyBorder="1"/>
    <xf numFmtId="3" fontId="7" fillId="30" borderId="42" xfId="0" applyNumberFormat="1" applyFont="1" applyFill="1" applyBorder="1"/>
    <xf numFmtId="0" fontId="57" fillId="30" borderId="0" xfId="0" applyFont="1" applyFill="1" applyBorder="1" applyAlignment="1">
      <alignment horizontal="center" vertical="center" wrapText="1" readingOrder="1"/>
    </xf>
    <xf numFmtId="3" fontId="57" fillId="30" borderId="0" xfId="0" applyNumberFormat="1" applyFont="1" applyFill="1" applyBorder="1"/>
    <xf numFmtId="0" fontId="57" fillId="30" borderId="0" xfId="0" applyFont="1" applyFill="1" applyBorder="1" applyAlignment="1">
      <alignment vertical="center" wrapText="1" readingOrder="1"/>
    </xf>
    <xf numFmtId="3" fontId="7" fillId="0" borderId="0" xfId="0" applyNumberFormat="1" applyFont="1" applyBorder="1"/>
    <xf numFmtId="9" fontId="58" fillId="30" borderId="0" xfId="1" applyFont="1" applyFill="1" applyAlignment="1">
      <alignment horizontal="center"/>
    </xf>
    <xf numFmtId="9" fontId="57" fillId="30" borderId="42" xfId="1" applyFont="1" applyFill="1" applyBorder="1" applyAlignment="1">
      <alignment horizontal="center"/>
    </xf>
    <xf numFmtId="0" fontId="3" fillId="30" borderId="0" xfId="0" applyFont="1" applyFill="1" applyBorder="1" applyAlignment="1">
      <alignment vertical="center" wrapText="1" readingOrder="1"/>
    </xf>
    <xf numFmtId="0" fontId="4" fillId="30" borderId="2" xfId="0" applyFont="1" applyFill="1" applyBorder="1"/>
    <xf numFmtId="0" fontId="58" fillId="30" borderId="2" xfId="0" applyFont="1" applyFill="1" applyBorder="1"/>
    <xf numFmtId="0" fontId="57" fillId="30" borderId="0" xfId="0" applyFont="1" applyFill="1"/>
    <xf numFmtId="3" fontId="57" fillId="30" borderId="0" xfId="0" applyNumberFormat="1" applyFont="1" applyFill="1"/>
    <xf numFmtId="0" fontId="57" fillId="30" borderId="6" xfId="0" applyFont="1" applyFill="1" applyBorder="1"/>
    <xf numFmtId="3" fontId="57" fillId="30" borderId="6" xfId="0" applyNumberFormat="1" applyFont="1" applyFill="1" applyBorder="1"/>
    <xf numFmtId="0" fontId="57" fillId="30" borderId="2" xfId="0" applyFont="1" applyFill="1" applyBorder="1"/>
    <xf numFmtId="0" fontId="97" fillId="30" borderId="0" xfId="0" applyFont="1" applyFill="1" applyBorder="1" applyAlignment="1"/>
    <xf numFmtId="3" fontId="97" fillId="30" borderId="0" xfId="0" applyNumberFormat="1" applyFont="1" applyFill="1" applyBorder="1" applyAlignment="1"/>
    <xf numFmtId="9" fontId="97" fillId="30" borderId="0" xfId="1" applyFont="1" applyFill="1" applyBorder="1" applyAlignment="1"/>
    <xf numFmtId="0" fontId="97" fillId="30" borderId="6" xfId="0" applyFont="1" applyFill="1" applyBorder="1" applyAlignment="1"/>
    <xf numFmtId="3" fontId="97" fillId="30" borderId="6" xfId="0" applyNumberFormat="1" applyFont="1" applyFill="1" applyBorder="1" applyAlignment="1"/>
    <xf numFmtId="0" fontId="58" fillId="30" borderId="42" xfId="0" applyFont="1" applyFill="1" applyBorder="1" applyAlignment="1">
      <alignment vertical="top"/>
    </xf>
    <xf numFmtId="0" fontId="58" fillId="30" borderId="0" xfId="0" applyFont="1" applyFill="1" applyAlignment="1">
      <alignment horizontal="left"/>
    </xf>
    <xf numFmtId="0" fontId="58" fillId="30" borderId="0" xfId="0" applyFont="1" applyFill="1" applyBorder="1" applyAlignment="1">
      <alignment horizontal="right"/>
    </xf>
    <xf numFmtId="3" fontId="58" fillId="30" borderId="0" xfId="0" applyNumberFormat="1" applyFont="1" applyFill="1" applyBorder="1" applyAlignment="1">
      <alignment horizontal="right"/>
    </xf>
    <xf numFmtId="0" fontId="58" fillId="30" borderId="0" xfId="0" applyFont="1" applyFill="1" applyBorder="1"/>
    <xf numFmtId="3" fontId="58" fillId="30" borderId="0" xfId="0" applyNumberFormat="1" applyFont="1" applyFill="1" applyAlignment="1">
      <alignment horizontal="right"/>
    </xf>
    <xf numFmtId="0" fontId="58" fillId="30" borderId="0" xfId="0" applyFont="1" applyFill="1" applyAlignment="1">
      <alignment horizontal="right"/>
    </xf>
    <xf numFmtId="0" fontId="57" fillId="30" borderId="2" xfId="0" applyFont="1" applyFill="1" applyBorder="1" applyAlignment="1">
      <alignment horizontal="right"/>
    </xf>
    <xf numFmtId="0" fontId="58" fillId="30" borderId="2" xfId="0" applyFont="1" applyFill="1" applyBorder="1" applyAlignment="1">
      <alignment horizontal="left"/>
    </xf>
    <xf numFmtId="0" fontId="58" fillId="30" borderId="6" xfId="0" applyFont="1" applyFill="1" applyBorder="1" applyAlignment="1">
      <alignment horizontal="left"/>
    </xf>
    <xf numFmtId="3" fontId="58" fillId="30" borderId="6" xfId="0" applyNumberFormat="1" applyFont="1" applyFill="1" applyBorder="1" applyAlignment="1">
      <alignment horizontal="right"/>
    </xf>
    <xf numFmtId="0" fontId="57" fillId="30" borderId="52" xfId="0" applyFont="1" applyFill="1" applyBorder="1"/>
    <xf numFmtId="9" fontId="57" fillId="30" borderId="52" xfId="1" applyFont="1" applyFill="1" applyBorder="1"/>
    <xf numFmtId="3" fontId="58" fillId="30" borderId="0" xfId="0" applyNumberFormat="1" applyFont="1" applyFill="1" applyBorder="1"/>
    <xf numFmtId="3" fontId="58" fillId="30" borderId="2" xfId="0" applyNumberFormat="1" applyFont="1" applyFill="1" applyBorder="1"/>
    <xf numFmtId="0" fontId="57" fillId="30" borderId="2" xfId="0" applyFont="1" applyFill="1" applyBorder="1" applyAlignment="1">
      <alignment horizontal="center" vertical="center" readingOrder="1"/>
    </xf>
    <xf numFmtId="164" fontId="58" fillId="30" borderId="0" xfId="0" applyNumberFormat="1" applyFont="1" applyFill="1"/>
    <xf numFmtId="164" fontId="58" fillId="30" borderId="0" xfId="0" applyNumberFormat="1" applyFont="1" applyFill="1" applyBorder="1"/>
    <xf numFmtId="0" fontId="58" fillId="30" borderId="42" xfId="0" applyFont="1" applyFill="1" applyBorder="1"/>
    <xf numFmtId="164" fontId="58" fillId="30" borderId="42" xfId="0" applyNumberFormat="1" applyFont="1" applyFill="1" applyBorder="1"/>
    <xf numFmtId="3" fontId="58" fillId="30" borderId="0" xfId="0" applyNumberFormat="1" applyFont="1" applyFill="1" applyAlignment="1"/>
    <xf numFmtId="3" fontId="57" fillId="30" borderId="2" xfId="0" applyNumberFormat="1" applyFont="1" applyFill="1" applyBorder="1"/>
    <xf numFmtId="0" fontId="57" fillId="30" borderId="22" xfId="113" applyFont="1" applyFill="1" applyBorder="1" applyAlignment="1">
      <alignment horizontal="center" vertical="center" wrapText="1"/>
    </xf>
    <xf numFmtId="0" fontId="57" fillId="30" borderId="22" xfId="113" applyFont="1" applyFill="1" applyBorder="1" applyAlignment="1">
      <alignment horizontal="center" vertical="center" wrapText="1" readingOrder="1"/>
    </xf>
    <xf numFmtId="0" fontId="58" fillId="30" borderId="0" xfId="113" applyFont="1" applyFill="1" applyBorder="1" applyAlignment="1">
      <alignment vertical="top" readingOrder="1"/>
    </xf>
    <xf numFmtId="0" fontId="57" fillId="30" borderId="42" xfId="113" applyFont="1" applyFill="1" applyBorder="1" applyAlignment="1">
      <alignment horizontal="center" vertical="top" readingOrder="1"/>
    </xf>
    <xf numFmtId="3" fontId="57" fillId="30" borderId="42" xfId="113" applyNumberFormat="1" applyFont="1" applyFill="1" applyBorder="1" applyAlignment="1">
      <alignment horizontal="right" vertical="top" readingOrder="1"/>
    </xf>
    <xf numFmtId="0" fontId="57" fillId="30" borderId="0" xfId="119" applyFont="1" applyFill="1" applyBorder="1" applyAlignment="1">
      <alignment horizontal="justify" vertical="top" wrapText="1"/>
    </xf>
    <xf numFmtId="3" fontId="58" fillId="30" borderId="0" xfId="119" applyNumberFormat="1" applyFont="1" applyFill="1" applyBorder="1" applyAlignment="1">
      <alignment horizontal="center" vertical="top" wrapText="1"/>
    </xf>
    <xf numFmtId="3" fontId="58" fillId="30" borderId="0" xfId="119" applyNumberFormat="1" applyFont="1" applyFill="1" applyBorder="1" applyAlignment="1">
      <alignment horizontal="center"/>
    </xf>
    <xf numFmtId="0" fontId="57" fillId="30" borderId="42" xfId="119" applyFont="1" applyFill="1" applyBorder="1" applyAlignment="1">
      <alignment horizontal="justify" vertical="top" wrapText="1"/>
    </xf>
    <xf numFmtId="3" fontId="57" fillId="30" borderId="42" xfId="119" applyNumberFormat="1" applyFont="1" applyFill="1" applyBorder="1" applyAlignment="1">
      <alignment horizontal="center"/>
    </xf>
    <xf numFmtId="0" fontId="98" fillId="30" borderId="0" xfId="113" applyFont="1" applyFill="1" applyBorder="1" applyAlignment="1">
      <alignment vertical="top" readingOrder="1"/>
    </xf>
    <xf numFmtId="0" fontId="98" fillId="30" borderId="0" xfId="0" applyFont="1" applyFill="1" applyAlignment="1"/>
    <xf numFmtId="10" fontId="98" fillId="30" borderId="0" xfId="0" applyNumberFormat="1" applyFont="1" applyFill="1" applyAlignment="1"/>
    <xf numFmtId="0" fontId="78" fillId="30" borderId="41" xfId="0" applyFont="1" applyFill="1" applyBorder="1" applyAlignment="1">
      <alignment horizontal="justify" vertical="top" readingOrder="1"/>
    </xf>
    <xf numFmtId="0" fontId="78" fillId="30" borderId="2" xfId="0" applyFont="1" applyFill="1" applyBorder="1" applyAlignment="1">
      <alignment horizontal="center" vertical="top" readingOrder="1"/>
    </xf>
    <xf numFmtId="0" fontId="78" fillId="30" borderId="2" xfId="0" applyFont="1" applyFill="1" applyBorder="1" applyAlignment="1">
      <alignment horizontal="left" vertical="top" readingOrder="1"/>
    </xf>
    <xf numFmtId="0" fontId="67" fillId="30" borderId="2" xfId="0" applyFont="1" applyFill="1" applyBorder="1" applyAlignment="1">
      <alignment horizontal="center" vertical="top" readingOrder="1"/>
    </xf>
    <xf numFmtId="0" fontId="67" fillId="30" borderId="6" xfId="0" applyFont="1" applyFill="1" applyBorder="1" applyAlignment="1">
      <alignment horizontal="justify" vertical="top" readingOrder="1"/>
    </xf>
    <xf numFmtId="0" fontId="67" fillId="30" borderId="2" xfId="0" applyFont="1" applyFill="1" applyBorder="1" applyAlignment="1">
      <alignment horizontal="left" vertical="top" readingOrder="1"/>
    </xf>
    <xf numFmtId="0" fontId="60" fillId="30" borderId="0" xfId="114" applyFont="1" applyFill="1" applyBorder="1" applyAlignment="1">
      <alignment horizontal="left"/>
    </xf>
    <xf numFmtId="3" fontId="60" fillId="30" borderId="0" xfId="114" applyNumberFormat="1" applyFont="1" applyFill="1" applyBorder="1" applyAlignment="1">
      <alignment horizontal="right"/>
    </xf>
    <xf numFmtId="9" fontId="60" fillId="30" borderId="0" xfId="1" applyFont="1" applyFill="1" applyBorder="1" applyAlignment="1">
      <alignment horizontal="right"/>
    </xf>
    <xf numFmtId="3" fontId="60" fillId="30" borderId="24" xfId="114" applyNumberFormat="1" applyFont="1" applyFill="1" applyBorder="1"/>
    <xf numFmtId="9" fontId="60" fillId="30" borderId="24" xfId="1" applyFont="1" applyFill="1" applyBorder="1"/>
    <xf numFmtId="0" fontId="61" fillId="30" borderId="0" xfId="114" applyFont="1" applyFill="1" applyBorder="1"/>
    <xf numFmtId="3" fontId="61" fillId="30" borderId="0" xfId="114" applyNumberFormat="1" applyFont="1" applyFill="1" applyBorder="1"/>
    <xf numFmtId="9" fontId="61" fillId="30" borderId="0" xfId="1" applyFont="1" applyFill="1" applyBorder="1"/>
    <xf numFmtId="3" fontId="61" fillId="30" borderId="0" xfId="127" applyNumberFormat="1" applyFont="1" applyFill="1" applyBorder="1" applyAlignment="1">
      <alignment horizontal="right"/>
    </xf>
    <xf numFmtId="9" fontId="61" fillId="30" borderId="0" xfId="1" applyFont="1" applyFill="1" applyBorder="1" applyAlignment="1">
      <alignment horizontal="right"/>
    </xf>
    <xf numFmtId="0" fontId="61" fillId="30" borderId="5" xfId="114" applyFont="1" applyFill="1" applyBorder="1"/>
    <xf numFmtId="0" fontId="60" fillId="30" borderId="5" xfId="114" applyFont="1" applyFill="1" applyBorder="1"/>
    <xf numFmtId="3" fontId="60" fillId="30" borderId="5" xfId="127" applyNumberFormat="1" applyFont="1" applyFill="1" applyBorder="1" applyAlignment="1">
      <alignment horizontal="right"/>
    </xf>
    <xf numFmtId="9" fontId="60" fillId="30" borderId="5" xfId="1" applyFont="1" applyFill="1" applyBorder="1" applyAlignment="1">
      <alignment horizontal="right"/>
    </xf>
    <xf numFmtId="3" fontId="60" fillId="30" borderId="5" xfId="114" quotePrefix="1" applyNumberFormat="1" applyFont="1" applyFill="1" applyBorder="1" applyAlignment="1">
      <alignment horizontal="center"/>
    </xf>
    <xf numFmtId="9" fontId="60" fillId="30" borderId="5" xfId="1" applyFont="1" applyFill="1" applyBorder="1" applyAlignment="1">
      <alignment horizontal="center"/>
    </xf>
    <xf numFmtId="3" fontId="98" fillId="30" borderId="0" xfId="0" applyNumberFormat="1" applyFont="1" applyFill="1" applyAlignment="1">
      <alignment horizontal="right"/>
    </xf>
    <xf numFmtId="3" fontId="57" fillId="30" borderId="2" xfId="0" applyNumberFormat="1" applyFont="1" applyFill="1" applyBorder="1" applyAlignment="1">
      <alignment horizontal="right" vertical="center" wrapText="1" readingOrder="1"/>
    </xf>
    <xf numFmtId="9" fontId="58" fillId="30" borderId="0" xfId="1" applyFont="1" applyFill="1"/>
    <xf numFmtId="9" fontId="57" fillId="30" borderId="42" xfId="1" applyFont="1" applyFill="1" applyBorder="1"/>
    <xf numFmtId="0" fontId="57" fillId="30" borderId="42" xfId="0" applyFont="1" applyFill="1" applyBorder="1" applyAlignment="1">
      <alignment vertical="top"/>
    </xf>
    <xf numFmtId="3" fontId="57" fillId="30" borderId="42" xfId="0" applyNumberFormat="1" applyFont="1" applyFill="1" applyBorder="1" applyAlignment="1">
      <alignment vertical="top"/>
    </xf>
    <xf numFmtId="0" fontId="81" fillId="0" borderId="0" xfId="0" applyFont="1" applyAlignment="1"/>
    <xf numFmtId="0" fontId="57" fillId="30" borderId="2" xfId="113" applyFont="1" applyFill="1" applyBorder="1" applyAlignment="1">
      <alignment horizontal="center" vertical="center" wrapText="1" readingOrder="1"/>
    </xf>
    <xf numFmtId="0" fontId="57" fillId="30" borderId="42" xfId="113" applyFont="1" applyFill="1" applyBorder="1" applyAlignment="1">
      <alignment horizontal="left" vertical="top" readingOrder="1"/>
    </xf>
    <xf numFmtId="0" fontId="57" fillId="30" borderId="2" xfId="113" applyFont="1" applyFill="1" applyBorder="1" applyAlignment="1">
      <alignment horizontal="left" vertical="center" wrapText="1"/>
    </xf>
    <xf numFmtId="164" fontId="57" fillId="30" borderId="2" xfId="0" applyNumberFormat="1" applyFont="1" applyFill="1" applyBorder="1" applyAlignment="1">
      <alignment vertical="center" wrapText="1" readingOrder="1"/>
    </xf>
    <xf numFmtId="3" fontId="57" fillId="30" borderId="2" xfId="0" applyNumberFormat="1" applyFont="1" applyFill="1" applyBorder="1" applyAlignment="1">
      <alignment vertical="center" wrapText="1" readingOrder="1"/>
    </xf>
    <xf numFmtId="3" fontId="58" fillId="30" borderId="0" xfId="0" applyNumberFormat="1" applyFont="1" applyFill="1" applyBorder="1" applyAlignment="1">
      <alignment horizontal="right" vertical="top" readingOrder="1"/>
    </xf>
    <xf numFmtId="10" fontId="58" fillId="30" borderId="0" xfId="0" applyNumberFormat="1" applyFont="1" applyFill="1" applyBorder="1" applyAlignment="1">
      <alignment horizontal="center" vertical="top"/>
    </xf>
    <xf numFmtId="9" fontId="58" fillId="30" borderId="0" xfId="0" applyNumberFormat="1" applyFont="1" applyFill="1" applyBorder="1" applyAlignment="1">
      <alignment horizontal="center" vertical="top" readingOrder="1"/>
    </xf>
    <xf numFmtId="3" fontId="58" fillId="30" borderId="0" xfId="0" applyNumberFormat="1" applyFont="1" applyFill="1" applyBorder="1" applyAlignment="1">
      <alignment horizontal="right" vertical="top"/>
    </xf>
    <xf numFmtId="3" fontId="57" fillId="30" borderId="42" xfId="0" applyNumberFormat="1" applyFont="1" applyFill="1" applyBorder="1" applyAlignment="1">
      <alignment horizontal="right" vertical="top"/>
    </xf>
    <xf numFmtId="0" fontId="57" fillId="30" borderId="42" xfId="0" applyFont="1" applyFill="1" applyBorder="1" applyAlignment="1">
      <alignment horizontal="center" vertical="top"/>
    </xf>
    <xf numFmtId="3" fontId="98" fillId="30" borderId="0" xfId="0" applyNumberFormat="1" applyFont="1" applyFill="1" applyAlignment="1"/>
    <xf numFmtId="3" fontId="98" fillId="30" borderId="0" xfId="0" applyNumberFormat="1" applyFont="1" applyFill="1" applyAlignment="1">
      <alignment horizontal="center"/>
    </xf>
    <xf numFmtId="3" fontId="98" fillId="30" borderId="6" xfId="0" applyNumberFormat="1" applyFont="1" applyFill="1" applyBorder="1" applyAlignment="1">
      <alignment horizontal="center"/>
    </xf>
    <xf numFmtId="0" fontId="57" fillId="30" borderId="2" xfId="0" applyFont="1" applyFill="1" applyBorder="1" applyAlignment="1">
      <alignment horizontal="left" vertical="center" wrapText="1" readingOrder="1"/>
    </xf>
    <xf numFmtId="0" fontId="98" fillId="30" borderId="6" xfId="0" applyFont="1" applyFill="1" applyBorder="1" applyAlignment="1"/>
    <xf numFmtId="0" fontId="7" fillId="34" borderId="55" xfId="0" applyFont="1" applyFill="1" applyBorder="1" applyAlignment="1">
      <alignment horizontal="center" vertical="center" wrapText="1"/>
    </xf>
    <xf numFmtId="0" fontId="72" fillId="34" borderId="0" xfId="0" applyFont="1" applyFill="1" applyAlignment="1">
      <alignment vertical="center"/>
    </xf>
    <xf numFmtId="3" fontId="72" fillId="34" borderId="0" xfId="0" applyNumberFormat="1" applyFont="1" applyFill="1" applyAlignment="1">
      <alignment horizontal="right" vertical="center"/>
    </xf>
    <xf numFmtId="0" fontId="7" fillId="34" borderId="9" xfId="0" applyFont="1" applyFill="1" applyBorder="1" applyAlignment="1">
      <alignment vertical="center"/>
    </xf>
    <xf numFmtId="3" fontId="7" fillId="34" borderId="9" xfId="0" applyNumberFormat="1" applyFont="1" applyFill="1" applyBorder="1" applyAlignment="1">
      <alignment horizontal="right" vertical="center"/>
    </xf>
    <xf numFmtId="0" fontId="7" fillId="34" borderId="0" xfId="0" applyFont="1" applyFill="1" applyBorder="1" applyAlignment="1">
      <alignment horizontal="center" vertical="center" wrapText="1"/>
    </xf>
    <xf numFmtId="3" fontId="72" fillId="34" borderId="0" xfId="0" applyNumberFormat="1" applyFont="1" applyFill="1" applyBorder="1" applyAlignment="1">
      <alignment horizontal="right" vertical="center"/>
    </xf>
    <xf numFmtId="3" fontId="7" fillId="34" borderId="0" xfId="0" applyNumberFormat="1" applyFont="1" applyFill="1" applyBorder="1" applyAlignment="1">
      <alignment horizontal="right" vertical="center"/>
    </xf>
    <xf numFmtId="3" fontId="100" fillId="30" borderId="6" xfId="0" applyNumberFormat="1" applyFont="1" applyFill="1" applyBorder="1" applyAlignment="1">
      <alignment horizontal="right" vertical="top" readingOrder="1"/>
    </xf>
    <xf numFmtId="0" fontId="99" fillId="30" borderId="52" xfId="0" applyFont="1" applyFill="1" applyBorder="1" applyAlignment="1">
      <alignment horizontal="justify" vertical="top" readingOrder="1"/>
    </xf>
    <xf numFmtId="3" fontId="99" fillId="30" borderId="52" xfId="0" applyNumberFormat="1" applyFont="1" applyFill="1" applyBorder="1" applyAlignment="1">
      <alignment horizontal="right" vertical="top"/>
    </xf>
    <xf numFmtId="0" fontId="101" fillId="34" borderId="55" xfId="0" applyFont="1" applyFill="1" applyBorder="1" applyAlignment="1">
      <alignment vertical="center" wrapText="1"/>
    </xf>
    <xf numFmtId="0" fontId="101" fillId="34" borderId="55" xfId="0" applyFont="1" applyFill="1" applyBorder="1" applyAlignment="1">
      <alignment horizontal="center" vertical="center" wrapText="1"/>
    </xf>
    <xf numFmtId="3" fontId="101" fillId="34" borderId="55" xfId="0" applyNumberFormat="1" applyFont="1" applyFill="1" applyBorder="1" applyAlignment="1">
      <alignment horizontal="right" vertical="center" wrapText="1"/>
    </xf>
    <xf numFmtId="0" fontId="6" fillId="34" borderId="0" xfId="0" applyFont="1" applyFill="1" applyAlignment="1">
      <alignment vertical="center"/>
    </xf>
    <xf numFmtId="3" fontId="6" fillId="34" borderId="0" xfId="0" applyNumberFormat="1" applyFont="1" applyFill="1" applyAlignment="1">
      <alignment horizontal="right" vertical="center"/>
    </xf>
    <xf numFmtId="10" fontId="6" fillId="34" borderId="0" xfId="0" applyNumberFormat="1" applyFont="1" applyFill="1" applyAlignment="1">
      <alignment horizontal="center" vertical="center"/>
    </xf>
    <xf numFmtId="0" fontId="6" fillId="34" borderId="0" xfId="0" applyFont="1" applyFill="1" applyAlignment="1">
      <alignment horizontal="right" vertical="center"/>
    </xf>
    <xf numFmtId="9" fontId="6" fillId="34" borderId="0" xfId="0" applyNumberFormat="1" applyFont="1" applyFill="1" applyAlignment="1">
      <alignment horizontal="center" vertical="center"/>
    </xf>
    <xf numFmtId="0" fontId="6" fillId="34" borderId="9" xfId="0" applyFont="1" applyFill="1" applyBorder="1" applyAlignment="1">
      <alignment vertical="center"/>
    </xf>
    <xf numFmtId="3" fontId="101" fillId="34" borderId="9" xfId="0" applyNumberFormat="1" applyFont="1" applyFill="1" applyBorder="1" applyAlignment="1">
      <alignment horizontal="right" vertical="center"/>
    </xf>
    <xf numFmtId="0" fontId="101" fillId="34" borderId="9" xfId="0" applyFont="1" applyFill="1" applyBorder="1" applyAlignment="1">
      <alignment horizontal="center" vertical="center"/>
    </xf>
    <xf numFmtId="3" fontId="61" fillId="30" borderId="0" xfId="0" applyNumberFormat="1" applyFont="1" applyFill="1"/>
    <xf numFmtId="3" fontId="60" fillId="30" borderId="42" xfId="0" applyNumberFormat="1" applyFont="1" applyFill="1" applyBorder="1"/>
    <xf numFmtId="9" fontId="57" fillId="30" borderId="2" xfId="1" applyFont="1" applyFill="1" applyBorder="1"/>
    <xf numFmtId="0" fontId="3" fillId="2" borderId="0" xfId="0" applyFont="1" applyFill="1" applyAlignment="1">
      <alignment horizontal="center"/>
    </xf>
    <xf numFmtId="0" fontId="57" fillId="30" borderId="2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13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4" fillId="18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4" fillId="21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4" fillId="20" borderId="0" xfId="0" applyFont="1" applyFill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15" borderId="0" xfId="0" applyFont="1" applyFill="1" applyAlignment="1">
      <alignment horizontal="center"/>
    </xf>
    <xf numFmtId="0" fontId="4" fillId="22" borderId="0" xfId="0" applyFont="1" applyFill="1" applyAlignment="1">
      <alignment horizontal="center"/>
    </xf>
    <xf numFmtId="0" fontId="4" fillId="24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3" fillId="2" borderId="2" xfId="113" applyFont="1" applyFill="1" applyBorder="1" applyAlignment="1">
      <alignment horizontal="center" vertical="top" wrapText="1" readingOrder="1"/>
    </xf>
    <xf numFmtId="0" fontId="57" fillId="30" borderId="6" xfId="0" applyFont="1" applyFill="1" applyBorder="1" applyAlignment="1">
      <alignment horizontal="center" vertical="center" wrapText="1" readingOrder="1"/>
    </xf>
    <xf numFmtId="0" fontId="3" fillId="2" borderId="21" xfId="113" applyFont="1" applyFill="1" applyBorder="1" applyAlignment="1">
      <alignment horizontal="center" vertical="center" wrapText="1"/>
    </xf>
    <xf numFmtId="0" fontId="3" fillId="2" borderId="22" xfId="113" applyFont="1" applyFill="1" applyBorder="1" applyAlignment="1">
      <alignment horizontal="center" vertical="center" wrapText="1"/>
    </xf>
    <xf numFmtId="0" fontId="3" fillId="2" borderId="2" xfId="113" applyFont="1" applyFill="1" applyBorder="1" applyAlignment="1">
      <alignment horizontal="center" vertical="top" readingOrder="1"/>
    </xf>
    <xf numFmtId="0" fontId="60" fillId="30" borderId="24" xfId="114" applyFont="1" applyFill="1" applyBorder="1"/>
    <xf numFmtId="0" fontId="60" fillId="0" borderId="0" xfId="114" applyFont="1" applyBorder="1" applyAlignment="1">
      <alignment horizontal="center"/>
    </xf>
    <xf numFmtId="3" fontId="60" fillId="30" borderId="5" xfId="114" applyNumberFormat="1" applyFont="1" applyFill="1" applyBorder="1" applyAlignment="1">
      <alignment horizontal="center" vertical="center" wrapText="1"/>
    </xf>
    <xf numFmtId="0" fontId="60" fillId="30" borderId="5" xfId="114" applyFont="1" applyFill="1" applyBorder="1" applyAlignment="1">
      <alignment horizontal="left"/>
    </xf>
    <xf numFmtId="0" fontId="60" fillId="0" borderId="5" xfId="114" applyFont="1" applyBorder="1"/>
    <xf numFmtId="0" fontId="60" fillId="30" borderId="5" xfId="114" applyFont="1" applyFill="1" applyBorder="1"/>
    <xf numFmtId="3" fontId="60" fillId="0" borderId="42" xfId="114" applyNumberFormat="1" applyFont="1" applyBorder="1" applyAlignment="1">
      <alignment horizontal="center"/>
    </xf>
    <xf numFmtId="0" fontId="60" fillId="0" borderId="42" xfId="114" applyFont="1" applyBorder="1"/>
    <xf numFmtId="0" fontId="60" fillId="0" borderId="42" xfId="114" applyFont="1" applyBorder="1" applyAlignment="1">
      <alignment horizontal="left" vertical="center"/>
    </xf>
    <xf numFmtId="0" fontId="60" fillId="0" borderId="24" xfId="114" applyFont="1" applyBorder="1"/>
    <xf numFmtId="0" fontId="66" fillId="10" borderId="0" xfId="0" applyFont="1" applyFill="1" applyAlignment="1">
      <alignment horizontal="center"/>
    </xf>
  </cellXfs>
  <cellStyles count="182">
    <cellStyle name="_Tableau d'amortissement" xfId="2"/>
    <cellStyle name="_Tableau d'amortissement_DECOMPTE APRES AUDIT" xfId="3"/>
    <cellStyle name="=C:\WINDOWS\SYSTEM32\COMMAND.COM" xfId="4"/>
    <cellStyle name="20 % - Accent3 2" xfId="177"/>
    <cellStyle name="Body" xfId="5"/>
    <cellStyle name="Calc Currency (0)" xfId="6"/>
    <cellStyle name="Calc Currency (2)" xfId="7"/>
    <cellStyle name="Calc Percent (0)" xfId="8"/>
    <cellStyle name="Calc Percent (1)" xfId="9"/>
    <cellStyle name="Calc Percent (2)" xfId="10"/>
    <cellStyle name="Calc Units (0)" xfId="11"/>
    <cellStyle name="Calc Units (1)" xfId="12"/>
    <cellStyle name="Calc Units (2)" xfId="13"/>
    <cellStyle name="Calcul 2" xfId="179"/>
    <cellStyle name="Coma0" xfId="14"/>
    <cellStyle name="Coma1" xfId="15"/>
    <cellStyle name="Comma [00]" xfId="16"/>
    <cellStyle name="Comma 2" xfId="17"/>
    <cellStyle name="Comma 3" xfId="18"/>
    <cellStyle name="Comma 4" xfId="19"/>
    <cellStyle name="Comma 5" xfId="20"/>
    <cellStyle name="Comma 6" xfId="21"/>
    <cellStyle name="Comma 7" xfId="22"/>
    <cellStyle name="Comma0" xfId="23"/>
    <cellStyle name="Comma0 - Modelo1" xfId="24"/>
    <cellStyle name="Comma0 - Style1" xfId="25"/>
    <cellStyle name="Comma1 - Modelo2" xfId="26"/>
    <cellStyle name="Comma1 - Style2" xfId="27"/>
    <cellStyle name="Currency [00]" xfId="28"/>
    <cellStyle name="Currency0" xfId="29"/>
    <cellStyle name="Date" xfId="30"/>
    <cellStyle name="Date Short" xfId="31"/>
    <cellStyle name="Date_DECOMPTE APRES AUDIT" xfId="32"/>
    <cellStyle name="debbie" xfId="33"/>
    <cellStyle name="DELTA" xfId="34"/>
    <cellStyle name="Dezimal [0]_laroux" xfId="35"/>
    <cellStyle name="Dezimal_ALL_Monthly_result_MM_YYYY" xfId="36"/>
    <cellStyle name="Dia" xfId="37"/>
    <cellStyle name="Encabez1" xfId="38"/>
    <cellStyle name="Encabez2" xfId="39"/>
    <cellStyle name="Enter Currency (0)" xfId="40"/>
    <cellStyle name="Enter Currency (2)" xfId="41"/>
    <cellStyle name="Enter Units (0)" xfId="42"/>
    <cellStyle name="Enter Units (1)" xfId="43"/>
    <cellStyle name="Enter Units (2)" xfId="44"/>
    <cellStyle name="Entrée 2" xfId="178"/>
    <cellStyle name="Euro" xfId="45"/>
    <cellStyle name="Ezres_Konzept LTN_080205_b" xfId="46"/>
    <cellStyle name="F2" xfId="47"/>
    <cellStyle name="F3" xfId="48"/>
    <cellStyle name="F4" xfId="49"/>
    <cellStyle name="F5" xfId="50"/>
    <cellStyle name="F6" xfId="51"/>
    <cellStyle name="F7" xfId="52"/>
    <cellStyle name="F8" xfId="53"/>
    <cellStyle name="Fijo" xfId="54"/>
    <cellStyle name="Financiero" xfId="55"/>
    <cellStyle name="Fixed" xfId="56"/>
    <cellStyle name="font12" xfId="57"/>
    <cellStyle name="font14" xfId="58"/>
    <cellStyle name="gray fill" xfId="59"/>
    <cellStyle name="Grey" xfId="60"/>
    <cellStyle name="HEADER" xfId="61"/>
    <cellStyle name="Header1" xfId="62"/>
    <cellStyle name="Header2" xfId="63"/>
    <cellStyle name="Heading1" xfId="64"/>
    <cellStyle name="Heading2" xfId="65"/>
    <cellStyle name="HIGHLIGHT" xfId="66"/>
    <cellStyle name="Hipervínculo" xfId="67"/>
    <cellStyle name="Hipervínculo visitado" xfId="68"/>
    <cellStyle name="Input [yellow]" xfId="69"/>
    <cellStyle name="Lien hypertexte" xfId="70"/>
    <cellStyle name="Lien hypertexte visité" xfId="71"/>
    <cellStyle name="Link Currency (0)" xfId="72"/>
    <cellStyle name="Link Currency (2)" xfId="73"/>
    <cellStyle name="Link Units (0)" xfId="74"/>
    <cellStyle name="Link Units (1)" xfId="75"/>
    <cellStyle name="Link Units (2)" xfId="76"/>
    <cellStyle name="Migliaia (0)_REPORT" xfId="77"/>
    <cellStyle name="Migliaia_REPORT" xfId="78"/>
    <cellStyle name="Millares [0,1]" xfId="79"/>
    <cellStyle name="Millares [0.0]" xfId="80"/>
    <cellStyle name="Millares [0.1]" xfId="81"/>
    <cellStyle name="Millares [0]_10 AVERIAS MASIVAS + ANT" xfId="82"/>
    <cellStyle name="Millares [1]" xfId="83"/>
    <cellStyle name="Millares [2]" xfId="84"/>
    <cellStyle name="Millares [3]" xfId="85"/>
    <cellStyle name="Millares(0)" xfId="86"/>
    <cellStyle name="Millares(1)" xfId="87"/>
    <cellStyle name="Millares[1]" xfId="88"/>
    <cellStyle name="Millares_10 AVERIAS MASIVAS + ANT" xfId="89"/>
    <cellStyle name="Milliers 2" xfId="90"/>
    <cellStyle name="Milliers 3" xfId="91"/>
    <cellStyle name="Milliers 4" xfId="92"/>
    <cellStyle name="Milliers 5" xfId="93"/>
    <cellStyle name="Moneda [0]_10 AVERIAS MASIVAS + ANT" xfId="94"/>
    <cellStyle name="Moneda_10 AVERIAS MASIVAS + ANT" xfId="95"/>
    <cellStyle name="Monétaire 2" xfId="96"/>
    <cellStyle name="Monétaire 3" xfId="97"/>
    <cellStyle name="Monétaire 4" xfId="98"/>
    <cellStyle name="Monétaire 5" xfId="176"/>
    <cellStyle name="MS_Arabe" xfId="99"/>
    <cellStyle name="no dec" xfId="100"/>
    <cellStyle name="Non défini" xfId="101"/>
    <cellStyle name="Normal" xfId="0" builtinId="0"/>
    <cellStyle name="Normal - Style1" xfId="102"/>
    <cellStyle name="Normal 10" xfId="103"/>
    <cellStyle name="Normal 11" xfId="104"/>
    <cellStyle name="Normal 12" xfId="105"/>
    <cellStyle name="Normal 13" xfId="106"/>
    <cellStyle name="Normal 14" xfId="107"/>
    <cellStyle name="Normal 15" xfId="108"/>
    <cellStyle name="Normal 16" xfId="109"/>
    <cellStyle name="Normal 17" xfId="110"/>
    <cellStyle name="Normal 18" xfId="111"/>
    <cellStyle name="Normal 19" xfId="112"/>
    <cellStyle name="Normal 2" xfId="113"/>
    <cellStyle name="Normal 2 2" xfId="114"/>
    <cellStyle name="Normal 20" xfId="115"/>
    <cellStyle name="Normal 21" xfId="116"/>
    <cellStyle name="Normal 22" xfId="117"/>
    <cellStyle name="Normal 23" xfId="174"/>
    <cellStyle name="Normal 24" xfId="175"/>
    <cellStyle name="Normal 25" xfId="180"/>
    <cellStyle name="Normal 26" xfId="181"/>
    <cellStyle name="Normal 3" xfId="118"/>
    <cellStyle name="Normal 4" xfId="119"/>
    <cellStyle name="Normal 4 2" xfId="120"/>
    <cellStyle name="Normal 5" xfId="121"/>
    <cellStyle name="Normal 6" xfId="122"/>
    <cellStyle name="Normal 7" xfId="123"/>
    <cellStyle name="Normal 8" xfId="124"/>
    <cellStyle name="Normal 9" xfId="125"/>
    <cellStyle name="Normál_Comment_Pers_exp_OC_COS_06YTD1" xfId="126"/>
    <cellStyle name="Normal_Leads locaux" xfId="127"/>
    <cellStyle name="Normale_REPORT" xfId="128"/>
    <cellStyle name="paint" xfId="129"/>
    <cellStyle name="Percent (0)" xfId="130"/>
    <cellStyle name="Percent [0]" xfId="131"/>
    <cellStyle name="Percent [00]" xfId="132"/>
    <cellStyle name="Percent [2]" xfId="133"/>
    <cellStyle name="Percent 2" xfId="134"/>
    <cellStyle name="Percent(0)" xfId="135"/>
    <cellStyle name="Porcentual_Depreciacion" xfId="136"/>
    <cellStyle name="Pourcentage" xfId="1" builtinId="5"/>
    <cellStyle name="Pourcentage 2" xfId="137"/>
    <cellStyle name="Pourcentage 3" xfId="138"/>
    <cellStyle name="PrePop Currency (0)" xfId="139"/>
    <cellStyle name="PrePop Currency (2)" xfId="140"/>
    <cellStyle name="PrePop Units (0)" xfId="141"/>
    <cellStyle name="PrePop Units (1)" xfId="142"/>
    <cellStyle name="PrePop Units (2)" xfId="143"/>
    <cellStyle name="Resaltar" xfId="144"/>
    <cellStyle name="Resaltar1" xfId="145"/>
    <cellStyle name="SAPBEXchaText" xfId="146"/>
    <cellStyle name="SAPBEXfilterDrill" xfId="147"/>
    <cellStyle name="SAPBEXfilterItem" xfId="148"/>
    <cellStyle name="SAPBEXheaderItem" xfId="149"/>
    <cellStyle name="SAPBEXheaderText" xfId="150"/>
    <cellStyle name="SAPBEXHLevel0" xfId="151"/>
    <cellStyle name="SAPBEXHLevel1" xfId="152"/>
    <cellStyle name="SAPBEXHLevel2" xfId="153"/>
    <cellStyle name="SAPBEXHLevel3" xfId="154"/>
    <cellStyle name="SAPBEXstdData" xfId="155"/>
    <cellStyle name="SAPBEXstdDataEmph" xfId="156"/>
    <cellStyle name="SAPBEXstdItemX" xfId="157"/>
    <cellStyle name="SAPBEXtitle" xfId="158"/>
    <cellStyle name="Standard_ALL_Monthly_result_MM_YYYY" xfId="159"/>
    <cellStyle name="STA-TI - Style4" xfId="160"/>
    <cellStyle name="Style 1" xfId="161"/>
    <cellStyle name="sub-to - Style3" xfId="162"/>
    <cellStyle name="T¡tu-1 - Style2" xfId="163"/>
    <cellStyle name="Text Indent A" xfId="164"/>
    <cellStyle name="Text Indent B" xfId="165"/>
    <cellStyle name="Text Indent C" xfId="166"/>
    <cellStyle name="Titre 1" xfId="167"/>
    <cellStyle name="Tope - Style1" xfId="168"/>
    <cellStyle name="Unprot" xfId="169"/>
    <cellStyle name="Unprot$" xfId="170"/>
    <cellStyle name="Unprotect" xfId="171"/>
    <cellStyle name="Valuta (0)_dimon" xfId="172"/>
    <cellStyle name="Valuta_dimon" xfId="173"/>
  </cellStyles>
  <dxfs count="6"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2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lineChart>
        <c:grouping val="standard"/>
        <c:ser>
          <c:idx val="0"/>
          <c:order val="0"/>
          <c:tx>
            <c:strRef>
              <c:f>'Trésor prévisionnelle'!$A$49</c:f>
              <c:strCache>
                <c:ptCount val="1"/>
                <c:pt idx="0">
                  <c:v>Trésorerie nette</c:v>
                </c:pt>
              </c:strCache>
            </c:strRef>
          </c:tx>
          <c:cat>
            <c:numRef>
              <c:f>'Trésor prévisionnelle'!$B$48:$H$48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'Trésor prévisionnelle'!$B$49:$H$49</c:f>
              <c:numCache>
                <c:formatCode>#,##0</c:formatCode>
                <c:ptCount val="7"/>
                <c:pt idx="0">
                  <c:v>154553.00813649199</c:v>
                </c:pt>
                <c:pt idx="1">
                  <c:v>166356.04750613926</c:v>
                </c:pt>
                <c:pt idx="2">
                  <c:v>214609.7067690602</c:v>
                </c:pt>
                <c:pt idx="3">
                  <c:v>255656.95639733845</c:v>
                </c:pt>
                <c:pt idx="4">
                  <c:v>319242.93400495464</c:v>
                </c:pt>
                <c:pt idx="5">
                  <c:v>338295.36586840026</c:v>
                </c:pt>
                <c:pt idx="6">
                  <c:v>359153.21092306491</c:v>
                </c:pt>
              </c:numCache>
            </c:numRef>
          </c:val>
        </c:ser>
        <c:dLbls/>
        <c:marker val="1"/>
        <c:axId val="108163072"/>
        <c:axId val="108164608"/>
      </c:lineChart>
      <c:catAx>
        <c:axId val="108163072"/>
        <c:scaling>
          <c:orientation val="minMax"/>
        </c:scaling>
        <c:axPos val="b"/>
        <c:numFmt formatCode="General" sourceLinked="1"/>
        <c:tickLblPos val="nextTo"/>
        <c:crossAx val="108164608"/>
        <c:crosses val="autoZero"/>
        <c:auto val="1"/>
        <c:lblAlgn val="ctr"/>
        <c:lblOffset val="100"/>
      </c:catAx>
      <c:valAx>
        <c:axId val="108164608"/>
        <c:scaling>
          <c:orientation val="minMax"/>
        </c:scaling>
        <c:axPos val="l"/>
        <c:majorGridlines/>
        <c:numFmt formatCode="#,##0" sourceLinked="1"/>
        <c:tickLblPos val="low"/>
        <c:crossAx val="108163072"/>
        <c:crosses val="autoZero"/>
        <c:crossBetween val="between"/>
        <c:majorUnit val="100000"/>
      </c:valAx>
    </c:plotArea>
    <c:legend>
      <c:legendPos val="b"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lineChart>
        <c:grouping val="standard"/>
        <c:ser>
          <c:idx val="1"/>
          <c:order val="0"/>
          <c:tx>
            <c:strRef>
              <c:f>'Analyse rentabilité'!$B$4</c:f>
              <c:strCache>
                <c:ptCount val="1"/>
                <c:pt idx="0">
                  <c:v>Résultat Exploitation</c:v>
                </c:pt>
              </c:strCache>
            </c:strRef>
          </c:tx>
          <c:cat>
            <c:numRef>
              <c:f>'Analyse rentabilité'!$C$3:$I$3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'Analyse rentabilité'!$C$4:$I$4</c:f>
              <c:numCache>
                <c:formatCode>#,##0</c:formatCode>
                <c:ptCount val="7"/>
                <c:pt idx="0">
                  <c:v>166544.75751532265</c:v>
                </c:pt>
                <c:pt idx="1">
                  <c:v>216489.82622729847</c:v>
                </c:pt>
                <c:pt idx="2">
                  <c:v>280473.27017739322</c:v>
                </c:pt>
                <c:pt idx="3">
                  <c:v>344782.52935456112</c:v>
                </c:pt>
                <c:pt idx="4">
                  <c:v>430971.99145509955</c:v>
                </c:pt>
                <c:pt idx="5">
                  <c:v>421092.68449120037</c:v>
                </c:pt>
                <c:pt idx="6">
                  <c:v>443093.14456408657</c:v>
                </c:pt>
              </c:numCache>
            </c:numRef>
          </c:val>
        </c:ser>
        <c:ser>
          <c:idx val="2"/>
          <c:order val="1"/>
          <c:tx>
            <c:strRef>
              <c:f>'Analyse rentabilité'!$B$5</c:f>
              <c:strCache>
                <c:ptCount val="1"/>
                <c:pt idx="0">
                  <c:v>Résultat Net</c:v>
                </c:pt>
              </c:strCache>
            </c:strRef>
          </c:tx>
          <c:cat>
            <c:numRef>
              <c:f>'Analyse rentabilité'!$C$3:$I$3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'Analyse rentabilité'!$C$5:$I$5</c:f>
              <c:numCache>
                <c:formatCode>#,##0</c:formatCode>
                <c:ptCount val="7"/>
                <c:pt idx="0">
                  <c:v>98763.568136491987</c:v>
                </c:pt>
                <c:pt idx="1">
                  <c:v>137856.43217047385</c:v>
                </c:pt>
                <c:pt idx="2">
                  <c:v>190201.51513304492</c:v>
                </c:pt>
                <c:pt idx="3">
                  <c:v>242790.95951592084</c:v>
                </c:pt>
                <c:pt idx="4">
                  <c:v>311790.55609132466</c:v>
                </c:pt>
                <c:pt idx="5">
                  <c:v>308738.57586840028</c:v>
                </c:pt>
                <c:pt idx="6">
                  <c:v>329596.42092306493</c:v>
                </c:pt>
              </c:numCache>
            </c:numRef>
          </c:val>
        </c:ser>
        <c:ser>
          <c:idx val="3"/>
          <c:order val="2"/>
          <c:tx>
            <c:strRef>
              <c:f>'Analyse rentabilité'!$B$6</c:f>
              <c:strCache>
                <c:ptCount val="1"/>
                <c:pt idx="0">
                  <c:v>Chiffre d'affaire</c:v>
                </c:pt>
              </c:strCache>
            </c:strRef>
          </c:tx>
          <c:cat>
            <c:numRef>
              <c:f>'Analyse rentabilité'!$C$3:$I$3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'Analyse rentabilité'!$C$6:$I$6</c:f>
              <c:numCache>
                <c:formatCode>#,##0</c:formatCode>
                <c:ptCount val="7"/>
                <c:pt idx="0">
                  <c:v>1742256</c:v>
                </c:pt>
                <c:pt idx="1">
                  <c:v>2003594.4</c:v>
                </c:pt>
                <c:pt idx="2">
                  <c:v>2304133.5599999996</c:v>
                </c:pt>
                <c:pt idx="3">
                  <c:v>2649753.5939999986</c:v>
                </c:pt>
                <c:pt idx="4">
                  <c:v>3047216.6330999993</c:v>
                </c:pt>
                <c:pt idx="5">
                  <c:v>3047216.6330999993</c:v>
                </c:pt>
                <c:pt idx="6">
                  <c:v>3047216.6330999993</c:v>
                </c:pt>
              </c:numCache>
            </c:numRef>
          </c:val>
        </c:ser>
        <c:dLbls/>
        <c:marker val="1"/>
        <c:axId val="108744704"/>
        <c:axId val="108746240"/>
      </c:lineChart>
      <c:catAx>
        <c:axId val="108744704"/>
        <c:scaling>
          <c:orientation val="minMax"/>
        </c:scaling>
        <c:axPos val="b"/>
        <c:numFmt formatCode="General" sourceLinked="1"/>
        <c:tickLblPos val="nextTo"/>
        <c:crossAx val="108746240"/>
        <c:crosses val="autoZero"/>
        <c:auto val="1"/>
        <c:lblAlgn val="ctr"/>
        <c:lblOffset val="100"/>
      </c:catAx>
      <c:valAx>
        <c:axId val="108746240"/>
        <c:scaling>
          <c:orientation val="minMax"/>
          <c:max val="3500000"/>
          <c:min val="0"/>
        </c:scaling>
        <c:axPos val="l"/>
        <c:majorGridlines/>
        <c:numFmt formatCode="#,##0" sourceLinked="1"/>
        <c:tickLblPos val="nextTo"/>
        <c:crossAx val="108744704"/>
        <c:crosses val="autoZero"/>
        <c:crossBetween val="between"/>
      </c:valAx>
    </c:plotArea>
    <c:legend>
      <c:legendPos val="b"/>
    </c:legend>
    <c:plotVisOnly val="1"/>
    <c:dispBlanksAs val="gap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49</xdr:row>
      <xdr:rowOff>38099</xdr:rowOff>
    </xdr:from>
    <xdr:to>
      <xdr:col>8</xdr:col>
      <xdr:colOff>285750</xdr:colOff>
      <xdr:row>62</xdr:row>
      <xdr:rowOff>19050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10</xdr:row>
      <xdr:rowOff>180975</xdr:rowOff>
    </xdr:from>
    <xdr:to>
      <xdr:col>7</xdr:col>
      <xdr:colOff>447675</xdr:colOff>
      <xdr:row>23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aint\Desktop\BFI%2002\BFI%20DOC\Documents%20and%20Settings\amc2\Desktop\Clients\BFI\BFI%2030.06.01\Autres%20documents\ETATS%20FINAN%20BFI%20I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\applications\A\Datawarehouse\DWADP\BIL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ntunc01\FINANCE\CPM%20%20FILES\OPTU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mc2\Desktop\Clients\BFI\BFI%2030.06.01\Autres%20documents\ETATS%20FINAN%20BFI%20S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ntunimeyad01\Users1\Documents%20and%20Settings\amc\My%20Documents\MISSION\SCHNEIDER\schneider%2030-06-01\AUDIT\Examun%20analytique%20juin%2020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TAFI%20BFI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aint\Desktop\BFI%2002\BFI%20DOC\WINNT4\Profiles\Administrateur\Bureau\etafin2000\conso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Job/Mission%202012/Inoplast/Analytique/Analytique%202012-11-10-09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\applications\compta\BalanceAux.xlt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\applications\compta\BILAN.xlt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OCIETE%20MAS/Dropbox/Due%20Diligences%20Groupe%20Turki/Turki%20Motors/Livrable/TUN1203Q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SOCIETE%20MAS/Dropbox/Due%20Diligences%20Groupe%20Turki/Turki%20Motors/Livrable/Efficience%20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Mes%20documents\TUN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SOCIETE%20MAS/Dropbox/Due%20Diligences%20Groupe%20Turki/Turki%20Motors/Livrable/Ecritures.xl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\applications\compta\EcrituresDET.xlt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\applications\compta\EcrituresAux.xlt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w7\controlling\2002%20VWA%20Controlling\Mukachevo\BP%20Muk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SOCIETE%20MAS/Dropbox/Due%20Diligences%20Groupe%20Turki/Turki%20Motors/Livrable/EF%20BFI%20S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c2/Desktop/Clients/BFI/BFI%2030.06.01/Autres%20documents/ETATS%20FINANCIERS%20MC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OCIETE%20MAS/Dropbox/Due%20Diligences%20Groupe%20Turki/Turki%20Motors/Livrable/BU%20DC%20mifri_v2_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idi1001/Local%20Settings/Temporary%20Internet%20Files/OLKF7/Consolidation%20BU%20MIDTERM%20200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dou/AppData/Local/Microsoft/Windows/Temporary%20Internet%20Files/Content.Outlook/G70393HK/ETUDE%20DE%20RENTABILITE%20mahdi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LANCE BFI INTERNAIONAL AU 30 "/>
      <sheetName val="BALANCE AU 30.06.01"/>
    </sheetNames>
    <sheetDataSet>
      <sheetData sheetId="0">
        <row r="2">
          <cell r="F2">
            <v>0</v>
          </cell>
          <cell r="G2" t="str">
            <v>Achats d'approvisionnements consommés</v>
          </cell>
        </row>
        <row r="3">
          <cell r="F3">
            <v>-850000</v>
          </cell>
          <cell r="G3" t="str">
            <v>Capital social</v>
          </cell>
        </row>
        <row r="4">
          <cell r="F4">
            <v>-1350000</v>
          </cell>
          <cell r="G4" t="str">
            <v>Capital social</v>
          </cell>
        </row>
        <row r="5">
          <cell r="F5">
            <v>-52342.739000000001</v>
          </cell>
          <cell r="G5" t="str">
            <v>Réserve</v>
          </cell>
        </row>
        <row r="6">
          <cell r="F6">
            <v>-32675.719000000001</v>
          </cell>
          <cell r="G6" t="str">
            <v>Réserve</v>
          </cell>
        </row>
        <row r="7">
          <cell r="F7">
            <v>2128130.16</v>
          </cell>
        </row>
        <row r="8">
          <cell r="F8">
            <v>-2128130.16</v>
          </cell>
        </row>
        <row r="9">
          <cell r="F9">
            <v>550000</v>
          </cell>
          <cell r="G9" t="str">
            <v>Immobilisations incorporelles</v>
          </cell>
        </row>
        <row r="10">
          <cell r="F10">
            <v>140000</v>
          </cell>
          <cell r="G10" t="str">
            <v>Immobilisations corporelles</v>
          </cell>
        </row>
        <row r="11">
          <cell r="F11">
            <v>2367.88</v>
          </cell>
          <cell r="G11" t="str">
            <v>Immobilisations corporelles</v>
          </cell>
        </row>
        <row r="12">
          <cell r="F12">
            <v>-12833.333000000001</v>
          </cell>
          <cell r="G12" t="str">
            <v>Moins : amortissements des immo. corporelles</v>
          </cell>
        </row>
        <row r="13">
          <cell r="F13">
            <v>-64.221000000000004</v>
          </cell>
          <cell r="G13" t="str">
            <v>Moins : amortissements des immo. corporelles</v>
          </cell>
        </row>
        <row r="14">
          <cell r="F14">
            <v>-90750</v>
          </cell>
          <cell r="G14" t="str">
            <v>Moins : amortissements des immo. incorporelles</v>
          </cell>
        </row>
        <row r="15">
          <cell r="F15">
            <v>-217033.383</v>
          </cell>
          <cell r="G15" t="str">
            <v>Fournisseurs et comptes rattachés</v>
          </cell>
        </row>
        <row r="16">
          <cell r="F16">
            <v>-88025.804999999993</v>
          </cell>
          <cell r="G16" t="str">
            <v>Fournisseurs et comptes rattachés</v>
          </cell>
        </row>
        <row r="17">
          <cell r="F17">
            <v>-25354.322</v>
          </cell>
          <cell r="G17" t="str">
            <v>Autres passifs courants</v>
          </cell>
        </row>
        <row r="18">
          <cell r="F18">
            <v>2227757.9500000002</v>
          </cell>
          <cell r="G18" t="str">
            <v>Clients et comptes rattachés</v>
          </cell>
        </row>
        <row r="19">
          <cell r="F19">
            <v>1047549.1880000001</v>
          </cell>
          <cell r="G19" t="str">
            <v>Clients et comptes rattachés</v>
          </cell>
        </row>
        <row r="20">
          <cell r="F20">
            <v>376563.6</v>
          </cell>
          <cell r="G20" t="str">
            <v>Clients et comptes rattachés</v>
          </cell>
        </row>
        <row r="21">
          <cell r="F21">
            <v>1800</v>
          </cell>
          <cell r="G21" t="str">
            <v>Autres actifs courants</v>
          </cell>
        </row>
        <row r="22">
          <cell r="F22">
            <v>1600</v>
          </cell>
          <cell r="G22" t="str">
            <v>Autres actifs courants</v>
          </cell>
        </row>
        <row r="23">
          <cell r="F23">
            <v>0</v>
          </cell>
          <cell r="G23" t="str">
            <v>Autres actifs courants</v>
          </cell>
        </row>
        <row r="24">
          <cell r="F24">
            <v>-14937.493</v>
          </cell>
          <cell r="G24" t="str">
            <v>Autres passifs courants</v>
          </cell>
        </row>
        <row r="25">
          <cell r="F25">
            <v>18619.631000000001</v>
          </cell>
          <cell r="G25" t="str">
            <v>Autres actifs courants</v>
          </cell>
        </row>
        <row r="26">
          <cell r="F26">
            <v>-58108.328000000001</v>
          </cell>
          <cell r="G26" t="str">
            <v>Autres passifs courants</v>
          </cell>
        </row>
        <row r="27">
          <cell r="F27">
            <v>-3720.1550000000002</v>
          </cell>
          <cell r="G27" t="str">
            <v>Autres passifs courants</v>
          </cell>
        </row>
        <row r="28">
          <cell r="F28">
            <v>23962.042000000001</v>
          </cell>
          <cell r="G28" t="str">
            <v>Autres actifs courants</v>
          </cell>
        </row>
        <row r="29">
          <cell r="F29">
            <v>-3498</v>
          </cell>
          <cell r="G29" t="str">
            <v>Autres passifs courants</v>
          </cell>
        </row>
        <row r="30">
          <cell r="F30">
            <v>1350000</v>
          </cell>
          <cell r="G30" t="str">
            <v>Capital social</v>
          </cell>
        </row>
        <row r="31">
          <cell r="F31">
            <v>24269.356</v>
          </cell>
          <cell r="G31" t="str">
            <v>Autres actifs courants</v>
          </cell>
        </row>
        <row r="32">
          <cell r="F32">
            <v>-90165.445000000007</v>
          </cell>
          <cell r="G32" t="str">
            <v>Autres passifs courants</v>
          </cell>
        </row>
        <row r="33">
          <cell r="F33">
            <v>-1523.3510000000001</v>
          </cell>
          <cell r="G33" t="str">
            <v>Autres passifs courants</v>
          </cell>
        </row>
        <row r="34">
          <cell r="F34">
            <v>-26556.827000000001</v>
          </cell>
          <cell r="G34" t="str">
            <v>Autres passifs courants</v>
          </cell>
        </row>
        <row r="35">
          <cell r="F35">
            <v>-436070.06900000002</v>
          </cell>
          <cell r="G35" t="str">
            <v>Autres passifs courants</v>
          </cell>
        </row>
        <row r="36">
          <cell r="F36">
            <v>-1220.615</v>
          </cell>
          <cell r="G36" t="str">
            <v>Autres passifs courants</v>
          </cell>
        </row>
        <row r="37">
          <cell r="F37">
            <v>-1172.6559999999999</v>
          </cell>
          <cell r="G37" t="str">
            <v>Autres passifs courants</v>
          </cell>
        </row>
        <row r="38">
          <cell r="F38">
            <v>40151.760000000002</v>
          </cell>
          <cell r="G38" t="str">
            <v>Autres actifs courants</v>
          </cell>
        </row>
        <row r="39">
          <cell r="F39">
            <v>-474261.79200000002</v>
          </cell>
          <cell r="G39" t="str">
            <v>Moins : provisions sur créances</v>
          </cell>
        </row>
        <row r="40">
          <cell r="F40">
            <v>-2759955.9929999998</v>
          </cell>
          <cell r="G40" t="str">
            <v>Autres passifs courants</v>
          </cell>
        </row>
        <row r="41">
          <cell r="F41">
            <v>-165854</v>
          </cell>
          <cell r="G41" t="str">
            <v>Concours bancaires et autres passifs financiers</v>
          </cell>
        </row>
        <row r="42">
          <cell r="F42">
            <v>9480.3009999999995</v>
          </cell>
          <cell r="G42" t="str">
            <v>Placements at autres actifs financiers</v>
          </cell>
        </row>
        <row r="43">
          <cell r="F43">
            <v>3447957.8909999998</v>
          </cell>
          <cell r="G43" t="str">
            <v>Placements at autres actifs financiers</v>
          </cell>
        </row>
        <row r="44">
          <cell r="F44">
            <v>-655647.57299999997</v>
          </cell>
          <cell r="G44" t="str">
            <v>Concours bancaires et autres passifs financiers</v>
          </cell>
        </row>
        <row r="45">
          <cell r="F45">
            <v>-316399.94300000003</v>
          </cell>
          <cell r="G45" t="str">
            <v>Concours bancaires et autres passifs financiers</v>
          </cell>
        </row>
        <row r="46">
          <cell r="F46">
            <v>111536.74800000001</v>
          </cell>
          <cell r="G46" t="str">
            <v>Liquidités et équivalents de liquidités</v>
          </cell>
        </row>
        <row r="47">
          <cell r="F47">
            <v>0</v>
          </cell>
          <cell r="G47" t="str">
            <v>Liquidités et équivalents de liquidités</v>
          </cell>
        </row>
        <row r="48">
          <cell r="F48">
            <v>244895.60200000001</v>
          </cell>
          <cell r="G48" t="str">
            <v>Liquidités et équivalents de liquidités</v>
          </cell>
        </row>
        <row r="49">
          <cell r="F49">
            <v>0</v>
          </cell>
          <cell r="G49" t="str">
            <v>Liquidités et équivalents de liquidités</v>
          </cell>
        </row>
        <row r="50">
          <cell r="F50">
            <v>1135.3989999999999</v>
          </cell>
          <cell r="G50" t="str">
            <v>Liquidités et équivalents de liquidités</v>
          </cell>
        </row>
        <row r="51">
          <cell r="F51">
            <v>251.36099999999999</v>
          </cell>
          <cell r="G51" t="str">
            <v>Liquidités et équivalents de liquidités</v>
          </cell>
        </row>
        <row r="52">
          <cell r="F52">
            <v>0</v>
          </cell>
        </row>
        <row r="53">
          <cell r="F53">
            <v>1087.6200000000001</v>
          </cell>
          <cell r="G53" t="str">
            <v>Achats d'approvisionnements consommés</v>
          </cell>
        </row>
        <row r="54">
          <cell r="F54">
            <v>230.3</v>
          </cell>
          <cell r="G54" t="str">
            <v>Achats d'approvisionnements consommés</v>
          </cell>
        </row>
        <row r="55">
          <cell r="F55">
            <v>25</v>
          </cell>
          <cell r="G55" t="str">
            <v>Achats d'approvisionnements consommés</v>
          </cell>
        </row>
        <row r="56">
          <cell r="F56">
            <v>486870.34899999999</v>
          </cell>
          <cell r="G56" t="str">
            <v>Achats de marchandises consommées</v>
          </cell>
        </row>
        <row r="57">
          <cell r="F57">
            <v>75.2</v>
          </cell>
          <cell r="G57" t="str">
            <v>Autres charges d'exploitation</v>
          </cell>
        </row>
        <row r="58">
          <cell r="F58">
            <v>781.20799999999997</v>
          </cell>
          <cell r="G58" t="str">
            <v>Autres charges d'exploitation</v>
          </cell>
        </row>
        <row r="59">
          <cell r="F59">
            <v>2729.163</v>
          </cell>
          <cell r="G59" t="str">
            <v>Autres charges d'exploitation</v>
          </cell>
        </row>
        <row r="60">
          <cell r="F60">
            <v>29765.871999999999</v>
          </cell>
          <cell r="G60" t="str">
            <v>Autres charges d'exploitation</v>
          </cell>
        </row>
        <row r="61">
          <cell r="F61">
            <v>343858.97200000001</v>
          </cell>
          <cell r="G61" t="str">
            <v>Autres charges d'exploitation</v>
          </cell>
        </row>
        <row r="62">
          <cell r="F62">
            <v>6576.4049999999997</v>
          </cell>
          <cell r="G62" t="str">
            <v>Autres charges d'exploitation</v>
          </cell>
        </row>
        <row r="63">
          <cell r="F63">
            <v>38039.362999999998</v>
          </cell>
          <cell r="G63" t="str">
            <v>Autres charges d'exploitation</v>
          </cell>
        </row>
        <row r="64">
          <cell r="F64">
            <v>1264.52</v>
          </cell>
          <cell r="G64" t="str">
            <v>Autres charges d'exploitation</v>
          </cell>
        </row>
        <row r="65">
          <cell r="F65">
            <v>11658.234</v>
          </cell>
          <cell r="G65" t="str">
            <v>Autres charges d'exploitation</v>
          </cell>
        </row>
        <row r="66">
          <cell r="F66">
            <v>244864.45800000001</v>
          </cell>
          <cell r="G66" t="str">
            <v>Autres charges d'exploitation</v>
          </cell>
        </row>
        <row r="67">
          <cell r="F67">
            <v>4386.45</v>
          </cell>
          <cell r="G67" t="str">
            <v>Autres charges d'exploitation</v>
          </cell>
        </row>
        <row r="68">
          <cell r="F68">
            <v>480311.69400000002</v>
          </cell>
          <cell r="G68" t="str">
            <v>Autres charges d'exploitation</v>
          </cell>
        </row>
        <row r="69">
          <cell r="F69">
            <v>40919.129000000001</v>
          </cell>
          <cell r="G69" t="str">
            <v>Autres charges d'exploitation</v>
          </cell>
        </row>
        <row r="70">
          <cell r="F70">
            <v>15791.9</v>
          </cell>
          <cell r="G70" t="str">
            <v>Autres charges d'exploitation</v>
          </cell>
        </row>
        <row r="71">
          <cell r="F71">
            <v>1499.04</v>
          </cell>
          <cell r="G71" t="str">
            <v>Autres charges d'exploitation</v>
          </cell>
        </row>
        <row r="72">
          <cell r="F72">
            <v>7008.5749999999998</v>
          </cell>
          <cell r="G72" t="str">
            <v>Autres charges d'exploitation</v>
          </cell>
        </row>
        <row r="73">
          <cell r="F73">
            <v>6537.3249999999998</v>
          </cell>
          <cell r="G73" t="str">
            <v>Autres charges d'exploitation</v>
          </cell>
        </row>
        <row r="74">
          <cell r="F74">
            <v>49275.08</v>
          </cell>
          <cell r="G74" t="str">
            <v>Autres charges d'exploitation</v>
          </cell>
        </row>
        <row r="75">
          <cell r="F75">
            <v>35441.945</v>
          </cell>
          <cell r="G75" t="str">
            <v>Autres charges d'exploitation</v>
          </cell>
        </row>
        <row r="76">
          <cell r="F76">
            <v>2550.6</v>
          </cell>
          <cell r="G76" t="str">
            <v>Autres charges d'exploitation</v>
          </cell>
        </row>
        <row r="77">
          <cell r="F77">
            <v>2842.319</v>
          </cell>
          <cell r="G77" t="str">
            <v>Autres charges d'exploitation</v>
          </cell>
        </row>
        <row r="78">
          <cell r="F78">
            <v>193.755</v>
          </cell>
          <cell r="G78" t="str">
            <v>Autres pertes ordinaires</v>
          </cell>
        </row>
        <row r="79">
          <cell r="F79">
            <v>1223022.2320000001</v>
          </cell>
          <cell r="G79" t="str">
            <v>Charges de personnel</v>
          </cell>
        </row>
        <row r="80">
          <cell r="F80">
            <v>203042.21</v>
          </cell>
          <cell r="G80" t="str">
            <v>Charges de personnel</v>
          </cell>
        </row>
        <row r="81">
          <cell r="F81">
            <v>96825.978000000003</v>
          </cell>
          <cell r="G81" t="str">
            <v>Charges de personnel</v>
          </cell>
        </row>
        <row r="82">
          <cell r="F82">
            <v>88209.528999999995</v>
          </cell>
          <cell r="G82" t="str">
            <v>Charges de personnel</v>
          </cell>
        </row>
        <row r="83">
          <cell r="F83">
            <v>50087.697999999997</v>
          </cell>
          <cell r="G83" t="str">
            <v>Charges de personnel</v>
          </cell>
        </row>
        <row r="84">
          <cell r="F84">
            <v>50023.83</v>
          </cell>
          <cell r="G84" t="str">
            <v>Charges de personnel</v>
          </cell>
        </row>
        <row r="85">
          <cell r="F85">
            <v>97519.308000000005</v>
          </cell>
          <cell r="G85" t="str">
            <v>Charges de personnel</v>
          </cell>
        </row>
        <row r="86">
          <cell r="F86">
            <v>90956.146999999997</v>
          </cell>
          <cell r="G86" t="str">
            <v>Charges financières nettes</v>
          </cell>
        </row>
        <row r="87">
          <cell r="F87">
            <v>71442.703999999998</v>
          </cell>
          <cell r="G87" t="str">
            <v>Charges financières nettes</v>
          </cell>
        </row>
        <row r="88">
          <cell r="F88">
            <v>85540.671000000002</v>
          </cell>
          <cell r="G88" t="str">
            <v>Charges financières nettes</v>
          </cell>
        </row>
        <row r="89">
          <cell r="F89">
            <v>1024.75</v>
          </cell>
          <cell r="G89" t="str">
            <v>Autres charges d'exploitation</v>
          </cell>
        </row>
        <row r="90">
          <cell r="F90">
            <v>2550</v>
          </cell>
          <cell r="G90" t="str">
            <v>Autres charges d'exploitation</v>
          </cell>
        </row>
        <row r="91">
          <cell r="F91">
            <v>90750</v>
          </cell>
          <cell r="G91" t="str">
            <v>Dotations aux amortissements et aux  provisions</v>
          </cell>
        </row>
        <row r="92">
          <cell r="F92">
            <v>12897.554</v>
          </cell>
          <cell r="G92" t="str">
            <v>Dotations aux amortissements et aux  provisions</v>
          </cell>
        </row>
        <row r="93">
          <cell r="F93">
            <v>267040.97399999999</v>
          </cell>
          <cell r="G93" t="str">
            <v>Dotations aux amortissements et aux  provisions</v>
          </cell>
        </row>
        <row r="94">
          <cell r="F94">
            <v>-135525</v>
          </cell>
          <cell r="G94" t="str">
            <v>Revenus</v>
          </cell>
        </row>
        <row r="95">
          <cell r="F95">
            <v>-39000</v>
          </cell>
          <cell r="G95" t="str">
            <v>Revenus</v>
          </cell>
        </row>
        <row r="96">
          <cell r="F96">
            <v>-1485814.34</v>
          </cell>
          <cell r="G96" t="str">
            <v>Revenus</v>
          </cell>
        </row>
        <row r="97">
          <cell r="F97">
            <v>-226680</v>
          </cell>
          <cell r="G97" t="str">
            <v>Revenus</v>
          </cell>
        </row>
        <row r="98">
          <cell r="F98">
            <v>-130614.86599999999</v>
          </cell>
          <cell r="G98" t="str">
            <v>Revenus</v>
          </cell>
        </row>
        <row r="99">
          <cell r="F99">
            <v>-23205</v>
          </cell>
          <cell r="G99" t="str">
            <v>Revenus</v>
          </cell>
        </row>
        <row r="100">
          <cell r="F100">
            <v>-69560.399999999994</v>
          </cell>
          <cell r="G100" t="str">
            <v>Revenus</v>
          </cell>
        </row>
        <row r="101">
          <cell r="F101">
            <v>-966693.02399999998</v>
          </cell>
          <cell r="G101" t="str">
            <v>Revenus</v>
          </cell>
        </row>
        <row r="102">
          <cell r="F102">
            <v>-11125.786</v>
          </cell>
          <cell r="G102" t="str">
            <v>Revenus</v>
          </cell>
        </row>
        <row r="103">
          <cell r="F103">
            <v>-8408.4</v>
          </cell>
          <cell r="G103" t="str">
            <v>Revenus</v>
          </cell>
        </row>
        <row r="104">
          <cell r="F104">
            <v>-99961.37</v>
          </cell>
          <cell r="G104" t="str">
            <v>Revenus</v>
          </cell>
        </row>
        <row r="105">
          <cell r="F105">
            <v>-151022.51999999999</v>
          </cell>
          <cell r="G105" t="str">
            <v>Revenus</v>
          </cell>
        </row>
        <row r="106">
          <cell r="F106">
            <v>-810020.06700000004</v>
          </cell>
          <cell r="G106" t="str">
            <v>Revenus</v>
          </cell>
        </row>
        <row r="107">
          <cell r="F107">
            <v>-224835.29300000001</v>
          </cell>
          <cell r="G107" t="str">
            <v>Revenus</v>
          </cell>
        </row>
        <row r="108">
          <cell r="F108">
            <v>-1356506.2169999999</v>
          </cell>
          <cell r="G108" t="str">
            <v>Revenus</v>
          </cell>
        </row>
        <row r="109">
          <cell r="F109">
            <v>-1423.73</v>
          </cell>
          <cell r="G109" t="str">
            <v>Revenus</v>
          </cell>
        </row>
        <row r="110">
          <cell r="F110">
            <v>-88649.467999999993</v>
          </cell>
          <cell r="G110" t="str">
            <v>Revenus</v>
          </cell>
        </row>
        <row r="111">
          <cell r="F111">
            <v>-76265.63</v>
          </cell>
          <cell r="G111" t="str">
            <v>Autres gains ordinaires</v>
          </cell>
        </row>
        <row r="112">
          <cell r="F112">
            <v>-50983.222000000002</v>
          </cell>
          <cell r="G112" t="str">
            <v>Produits financiers</v>
          </cell>
        </row>
        <row r="113">
          <cell r="F113">
            <v>-180950.625</v>
          </cell>
          <cell r="G113" t="str">
            <v>Produits financiers</v>
          </cell>
        </row>
        <row r="114">
          <cell r="F114">
            <v>-0.05</v>
          </cell>
          <cell r="G114" t="str">
            <v>Autres gains ordinaires</v>
          </cell>
        </row>
        <row r="115">
          <cell r="F115" t="str">
            <v>solde</v>
          </cell>
          <cell r="G115" t="str">
            <v>affectation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aramètres"/>
      <sheetName val="Bilan"/>
      <sheetName val="ERES"/>
      <sheetName val="TER"/>
      <sheetName val="CE"/>
      <sheetName val="BALANCE"/>
      <sheetName val="BALANCEAUX"/>
      <sheetName val="Ecritures"/>
      <sheetName val="EcrituresAux"/>
      <sheetName val="Ecritures DET"/>
      <sheetName val="ModBilan"/>
      <sheetName val="codes"/>
      <sheetName val="Cover"/>
      <sheetName val="BALANCE PGH 2008"/>
      <sheetName val="BALANCE PGH AP CONSO 08 "/>
      <sheetName val="Ecritures_DET"/>
      <sheetName val="Ecritures_DET1"/>
      <sheetName val="Ecritures_DET8"/>
      <sheetName val="BALANCE_PGH_20085"/>
      <sheetName val="BALANCE_PGH_AP_CONSO_08_5"/>
      <sheetName val="Ecritures_DET4"/>
      <sheetName val="BALANCE_PGH_20082"/>
      <sheetName val="BALANCE_PGH_AP_CONSO_08_2"/>
      <sheetName val="Ecritures_DET2"/>
      <sheetName val="BALANCE_PGH_2008"/>
      <sheetName val="BALANCE_PGH_AP_CONSO_08_"/>
      <sheetName val="Ecritures_DET3"/>
      <sheetName val="BALANCE_PGH_20081"/>
      <sheetName val="BALANCE_PGH_AP_CONSO_08_1"/>
      <sheetName val="Ecritures_DET6"/>
      <sheetName val="BALANCE_PGH_20084"/>
      <sheetName val="BALANCE_PGH_AP_CONSO_08_4"/>
      <sheetName val="Ecritures_DET5"/>
      <sheetName val="BALANCE_PGH_20083"/>
      <sheetName val="BALANCE_PGH_AP_CONSO_08_3"/>
      <sheetName val="Ecritures_DET7"/>
      <sheetName val="Ecritures_DET9"/>
      <sheetName val="BALANCE_PGH_20086"/>
      <sheetName val="BALANCE_PGH_AP_CONSO_08_6"/>
    </sheetNames>
    <sheetDataSet>
      <sheetData sheetId="0">
        <row r="1">
          <cell r="A1" t="str">
            <v>J_65</v>
          </cell>
        </row>
        <row r="6">
          <cell r="B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 rate"/>
      <sheetName val="N_ACCTUN"/>
      <sheetName val="N_OPTUN"/>
      <sheetName val="Sheet1"/>
      <sheetName val="Sheet2"/>
      <sheetName val="N_OPTUN final"/>
      <sheetName val="E.AFFAIRS"/>
      <sheetName val="payroll tech"/>
      <sheetName val="capacité"/>
      <sheetName val="VS"/>
      <sheetName val="VH"/>
      <sheetName val="VENR"/>
      <sheetName val="VEND"/>
      <sheetName val="Energie"/>
      <sheetName val="TOP01"/>
    </sheetNames>
    <sheetDataSet>
      <sheetData sheetId="0" refreshError="1">
        <row r="2">
          <cell r="B2" t="str">
            <v>month</v>
          </cell>
          <cell r="C2" t="str">
            <v>rate</v>
          </cell>
        </row>
        <row r="3">
          <cell r="B3">
            <v>1</v>
          </cell>
          <cell r="C3">
            <v>1.4612499999999999</v>
          </cell>
        </row>
        <row r="4">
          <cell r="B4">
            <v>2</v>
          </cell>
          <cell r="C4">
            <v>1.4721</v>
          </cell>
        </row>
        <row r="5">
          <cell r="B5">
            <v>3</v>
          </cell>
          <cell r="C5">
            <v>1.47315</v>
          </cell>
        </row>
        <row r="6">
          <cell r="B6">
            <v>4</v>
          </cell>
          <cell r="C6">
            <v>1.4903</v>
          </cell>
        </row>
        <row r="7">
          <cell r="B7">
            <v>5</v>
          </cell>
          <cell r="C7">
            <v>1.4620500000000001</v>
          </cell>
        </row>
        <row r="8">
          <cell r="B8">
            <v>6</v>
          </cell>
          <cell r="C8">
            <v>1.4442999999999999</v>
          </cell>
        </row>
        <row r="9">
          <cell r="B9">
            <v>7</v>
          </cell>
          <cell r="C9">
            <v>1.3713</v>
          </cell>
        </row>
        <row r="10">
          <cell r="B10">
            <v>8</v>
          </cell>
          <cell r="C10">
            <v>1.3714999999999999</v>
          </cell>
        </row>
        <row r="11">
          <cell r="B11">
            <v>9</v>
          </cell>
          <cell r="C11">
            <v>1.37435</v>
          </cell>
        </row>
        <row r="12">
          <cell r="B12">
            <v>10</v>
          </cell>
          <cell r="C12">
            <v>1.3878999999999999</v>
          </cell>
        </row>
        <row r="13">
          <cell r="B13">
            <v>11</v>
          </cell>
          <cell r="C13">
            <v>1.3916999999999999</v>
          </cell>
        </row>
        <row r="14">
          <cell r="B14">
            <v>12</v>
          </cell>
          <cell r="C14">
            <v>1.3791500000000001</v>
          </cell>
        </row>
      </sheetData>
      <sheetData sheetId="1" refreshError="1">
        <row r="12">
          <cell r="A12">
            <v>1114</v>
          </cell>
          <cell r="B12">
            <v>900</v>
          </cell>
          <cell r="C12" t="str">
            <v>BANK ACCOUNT - DOLLARS</v>
          </cell>
        </row>
        <row r="13">
          <cell r="A13">
            <v>1134</v>
          </cell>
          <cell r="C13" t="str">
            <v>BANK ACCOUNT - DINARS</v>
          </cell>
        </row>
        <row r="14">
          <cell r="A14">
            <v>1136</v>
          </cell>
          <cell r="B14">
            <v>900</v>
          </cell>
          <cell r="C14" t="str">
            <v>PETTY CASH FLOAT</v>
          </cell>
        </row>
        <row r="15">
          <cell r="A15">
            <v>1250</v>
          </cell>
          <cell r="C15" t="str">
            <v>ACCOUNTS RECEIVABLE</v>
          </cell>
        </row>
        <row r="16">
          <cell r="A16">
            <v>1490</v>
          </cell>
          <cell r="C16" t="str">
            <v>PREPAYMENTS</v>
          </cell>
        </row>
        <row r="17">
          <cell r="A17">
            <v>149001</v>
          </cell>
          <cell r="C17" t="str">
            <v>PREPAYMENTS</v>
          </cell>
        </row>
        <row r="18">
          <cell r="A18">
            <v>1603</v>
          </cell>
          <cell r="B18">
            <v>650</v>
          </cell>
          <cell r="C18" t="str">
            <v>EMPLOYEE TRAVEL ADVANCES</v>
          </cell>
        </row>
        <row r="19">
          <cell r="A19">
            <v>1603</v>
          </cell>
          <cell r="B19">
            <v>900</v>
          </cell>
          <cell r="C19" t="str">
            <v>EMPLOYEE TRAVEL ADVANCES</v>
          </cell>
        </row>
        <row r="20">
          <cell r="A20" t="str">
            <v>1603AHMA</v>
          </cell>
          <cell r="B20">
            <v>900</v>
          </cell>
          <cell r="C20" t="str">
            <v>AHMED CHOUCH - TRAVEL ADVANCE.</v>
          </cell>
        </row>
        <row r="21">
          <cell r="A21" t="str">
            <v>1603AOUA</v>
          </cell>
          <cell r="B21">
            <v>900</v>
          </cell>
          <cell r="C21" t="str">
            <v>M. AOUIDIDI - ADVANCE</v>
          </cell>
        </row>
        <row r="22">
          <cell r="A22" t="str">
            <v>1603AOUC</v>
          </cell>
          <cell r="B22">
            <v>900</v>
          </cell>
          <cell r="C22" t="str">
            <v>M.AOUIDIDI.PAID BY CO .</v>
          </cell>
        </row>
        <row r="23">
          <cell r="A23" t="str">
            <v>1603ASHA</v>
          </cell>
          <cell r="B23">
            <v>900</v>
          </cell>
          <cell r="C23" t="str">
            <v>E. ASHKAR - TRAVEL ADVANCE</v>
          </cell>
        </row>
        <row r="24">
          <cell r="A24" t="str">
            <v>1603ASHC</v>
          </cell>
          <cell r="B24">
            <v>900</v>
          </cell>
          <cell r="C24" t="str">
            <v>E. ASHKAR - PAID BY CO.</v>
          </cell>
        </row>
        <row r="25">
          <cell r="A25" t="str">
            <v>1603BAHA</v>
          </cell>
          <cell r="B25">
            <v>900</v>
          </cell>
          <cell r="C25" t="str">
            <v>M. BAHRI - TRAVEL ADVANCE</v>
          </cell>
        </row>
        <row r="26">
          <cell r="A26" t="str">
            <v>1603BAHC</v>
          </cell>
          <cell r="B26">
            <v>900</v>
          </cell>
          <cell r="C26" t="str">
            <v>M. BAHRI - PAID BY CO.</v>
          </cell>
        </row>
        <row r="27">
          <cell r="A27" t="str">
            <v>1603BEDA</v>
          </cell>
          <cell r="B27">
            <v>900</v>
          </cell>
          <cell r="C27" t="str">
            <v>L. BEDIRI - TRAVEL ADVANCE</v>
          </cell>
        </row>
        <row r="28">
          <cell r="A28" t="str">
            <v>1603BEDC</v>
          </cell>
          <cell r="B28">
            <v>900</v>
          </cell>
          <cell r="C28" t="str">
            <v>L. BEDIRI - PAID BY CO.</v>
          </cell>
        </row>
        <row r="29">
          <cell r="A29" t="str">
            <v>1603BENA</v>
          </cell>
          <cell r="B29">
            <v>900</v>
          </cell>
          <cell r="C29" t="str">
            <v>N.BENGUESMLA .TRAVEL ADVANCE</v>
          </cell>
        </row>
        <row r="30">
          <cell r="A30" t="str">
            <v>1603BENC</v>
          </cell>
          <cell r="B30">
            <v>900</v>
          </cell>
          <cell r="C30" t="str">
            <v>N.BENGUESMIA - PAID BY CO.</v>
          </cell>
        </row>
        <row r="31">
          <cell r="A31" t="str">
            <v>1603BERA</v>
          </cell>
          <cell r="B31">
            <v>900</v>
          </cell>
          <cell r="C31" t="str">
            <v>A. BERRAIES - TRAVEL ADVANCE</v>
          </cell>
        </row>
        <row r="32">
          <cell r="A32" t="str">
            <v>1603BOUA</v>
          </cell>
          <cell r="C32" t="str">
            <v>S.BOUGHARRAF-TRAVEL ADVANCE</v>
          </cell>
        </row>
        <row r="33">
          <cell r="A33" t="str">
            <v>1603BOUA</v>
          </cell>
          <cell r="B33">
            <v>900</v>
          </cell>
          <cell r="C33" t="str">
            <v>S.BOUGHARRAF-TRAVEL ADVANCE</v>
          </cell>
        </row>
        <row r="34">
          <cell r="A34" t="str">
            <v>1603BOUC</v>
          </cell>
          <cell r="B34">
            <v>900</v>
          </cell>
          <cell r="C34" t="str">
            <v>S.BOUGHARRAF- PAID BY CO .</v>
          </cell>
        </row>
        <row r="35">
          <cell r="A35" t="str">
            <v>1603CARA</v>
          </cell>
          <cell r="B35">
            <v>900</v>
          </cell>
          <cell r="C35" t="str">
            <v>F. CARVALHO - TRAVEL ADVANCE</v>
          </cell>
        </row>
        <row r="36">
          <cell r="A36" t="str">
            <v>1603CARC</v>
          </cell>
          <cell r="B36">
            <v>900</v>
          </cell>
          <cell r="C36" t="str">
            <v>F. CARVALHO -PAID BY CO.</v>
          </cell>
        </row>
        <row r="37">
          <cell r="A37" t="str">
            <v>1603CHAA</v>
          </cell>
          <cell r="B37">
            <v>900</v>
          </cell>
          <cell r="C37" t="str">
            <v>M.CHAIB - TRAVEL ADVANCE</v>
          </cell>
        </row>
        <row r="38">
          <cell r="A38" t="str">
            <v>1603CHEA</v>
          </cell>
          <cell r="B38">
            <v>900</v>
          </cell>
          <cell r="C38" t="str">
            <v>M. CHERIF - TRAVEL ADVANCE</v>
          </cell>
        </row>
        <row r="39">
          <cell r="A39" t="str">
            <v>1603CHEC</v>
          </cell>
          <cell r="B39">
            <v>900</v>
          </cell>
          <cell r="C39" t="str">
            <v>M. CHERIF - PAID BY CO.</v>
          </cell>
        </row>
        <row r="40">
          <cell r="A40" t="str">
            <v>1603COUA</v>
          </cell>
          <cell r="B40">
            <v>900</v>
          </cell>
          <cell r="C40" t="str">
            <v>A.COURSON - TRAVEL ADVANCE</v>
          </cell>
        </row>
        <row r="41">
          <cell r="A41" t="str">
            <v>1603DOUA</v>
          </cell>
          <cell r="B41">
            <v>900</v>
          </cell>
          <cell r="C41" t="str">
            <v>N.DOUBIANI TRAVEL ADVANCE</v>
          </cell>
        </row>
        <row r="42">
          <cell r="A42" t="str">
            <v>1603DOUC</v>
          </cell>
          <cell r="B42">
            <v>900</v>
          </cell>
          <cell r="C42" t="str">
            <v>N.DOUBIANI - PAID BY CO.</v>
          </cell>
        </row>
        <row r="43">
          <cell r="A43" t="str">
            <v>1603ELAA</v>
          </cell>
          <cell r="B43">
            <v>900</v>
          </cell>
          <cell r="C43" t="str">
            <v>B.EL AMIRI - TRAVEL ADVANCE</v>
          </cell>
        </row>
        <row r="44">
          <cell r="A44" t="str">
            <v>1603GHEA</v>
          </cell>
          <cell r="B44">
            <v>900</v>
          </cell>
          <cell r="C44" t="str">
            <v>B. GHERIB - TRAVEL ADVANCE</v>
          </cell>
        </row>
        <row r="45">
          <cell r="A45" t="str">
            <v>1603GHEC</v>
          </cell>
          <cell r="B45">
            <v>900</v>
          </cell>
          <cell r="C45" t="str">
            <v>B.GHERIB - PAID BY CO.</v>
          </cell>
        </row>
        <row r="46">
          <cell r="A46" t="str">
            <v>1603GIRA</v>
          </cell>
          <cell r="B46">
            <v>900</v>
          </cell>
          <cell r="C46" t="str">
            <v>R. GIROUX - TRAVEL ADVANCE</v>
          </cell>
        </row>
        <row r="47">
          <cell r="A47" t="str">
            <v>1603GIRC</v>
          </cell>
          <cell r="B47">
            <v>900</v>
          </cell>
          <cell r="C47" t="str">
            <v>R. GIROUX - PAID BY CO.</v>
          </cell>
        </row>
        <row r="48">
          <cell r="A48" t="str">
            <v>1603GORA</v>
          </cell>
          <cell r="B48">
            <v>900</v>
          </cell>
          <cell r="C48" t="str">
            <v>S. GORDAH - TRAVEL ADVANCE</v>
          </cell>
        </row>
        <row r="49">
          <cell r="A49" t="str">
            <v>1603GORC</v>
          </cell>
          <cell r="B49">
            <v>900</v>
          </cell>
          <cell r="C49" t="str">
            <v>S. GORDAH - PAID BY CO.</v>
          </cell>
        </row>
        <row r="50">
          <cell r="A50" t="str">
            <v>1603GOUA</v>
          </cell>
          <cell r="B50">
            <v>900</v>
          </cell>
          <cell r="C50" t="str">
            <v>P.GOUYET - TRAVEL ADVANCE</v>
          </cell>
        </row>
        <row r="51">
          <cell r="A51" t="str">
            <v>1603GOUC</v>
          </cell>
          <cell r="B51">
            <v>900</v>
          </cell>
          <cell r="C51" t="str">
            <v>P.GOUYET PAID BY CO .</v>
          </cell>
        </row>
        <row r="52">
          <cell r="A52" t="str">
            <v>1603GUEA</v>
          </cell>
          <cell r="B52">
            <v>900</v>
          </cell>
          <cell r="C52" t="str">
            <v>D.GUEMGHAR - TRAVEL ADVANCE</v>
          </cell>
        </row>
        <row r="53">
          <cell r="A53" t="str">
            <v>1603GUIA</v>
          </cell>
          <cell r="B53">
            <v>900</v>
          </cell>
          <cell r="C53" t="str">
            <v>R.GUIRAGOSIAN - Travel Advance</v>
          </cell>
        </row>
        <row r="54">
          <cell r="A54" t="str">
            <v>1603GUIC</v>
          </cell>
          <cell r="B54">
            <v>900</v>
          </cell>
          <cell r="C54" t="str">
            <v>R.Guiragossian .Paid by Co.</v>
          </cell>
        </row>
        <row r="55">
          <cell r="A55" t="str">
            <v>1603HALA</v>
          </cell>
          <cell r="B55">
            <v>900</v>
          </cell>
          <cell r="C55" t="str">
            <v>H.EL YOUNSI - TRAVEL ADVANCE</v>
          </cell>
        </row>
        <row r="56">
          <cell r="A56" t="str">
            <v>1603HALC</v>
          </cell>
          <cell r="B56">
            <v>900</v>
          </cell>
          <cell r="C56" t="str">
            <v>H.YOUNSI. PAID BY CO .</v>
          </cell>
        </row>
        <row r="57">
          <cell r="A57" t="str">
            <v>1603HASA</v>
          </cell>
          <cell r="B57">
            <v>900</v>
          </cell>
          <cell r="C57" t="str">
            <v>BADIA HASNI - TRAVEL ADVANCE</v>
          </cell>
        </row>
        <row r="58">
          <cell r="A58" t="str">
            <v>1603IRAA</v>
          </cell>
          <cell r="B58">
            <v>900</v>
          </cell>
          <cell r="C58" t="str">
            <v>Y.IRAKI .TRAVEL ADVANCE</v>
          </cell>
        </row>
        <row r="59">
          <cell r="A59" t="str">
            <v>1603IRAC</v>
          </cell>
          <cell r="B59">
            <v>900</v>
          </cell>
          <cell r="C59" t="str">
            <v>Y.TRAKI.PAID BY CO.</v>
          </cell>
        </row>
        <row r="60">
          <cell r="A60" t="str">
            <v>1603KOUA</v>
          </cell>
          <cell r="B60">
            <v>900</v>
          </cell>
          <cell r="C60" t="str">
            <v>K. KOUKI - TRAVEL ADVANCE</v>
          </cell>
        </row>
        <row r="61">
          <cell r="A61" t="str">
            <v>_x000C_</v>
          </cell>
        </row>
        <row r="62">
          <cell r="A62" t="str">
            <v>Beverage</v>
          </cell>
          <cell r="B62" t="str">
            <v>Servi</v>
          </cell>
          <cell r="C62" t="str">
            <v>ces Tunisia                  List</v>
          </cell>
        </row>
        <row r="64">
          <cell r="B64" t="str">
            <v>Cost</v>
          </cell>
        </row>
        <row r="65">
          <cell r="A65" t="str">
            <v>Account</v>
          </cell>
          <cell r="B65" t="str">
            <v>Centr</v>
          </cell>
          <cell r="C65" t="str">
            <v>e</v>
          </cell>
        </row>
        <row r="66">
          <cell r="A66" t="str">
            <v>-------</v>
          </cell>
          <cell r="B66" t="str">
            <v>-----</v>
          </cell>
          <cell r="C66" t="str">
            <v>-</v>
          </cell>
        </row>
        <row r="68">
          <cell r="A68" t="str">
            <v>1603KOUC</v>
          </cell>
          <cell r="B68">
            <v>900</v>
          </cell>
          <cell r="C68" t="str">
            <v>K.KOUKI - PAID BY CO.</v>
          </cell>
        </row>
        <row r="69">
          <cell r="A69" t="str">
            <v>1603LADA</v>
          </cell>
          <cell r="B69">
            <v>900</v>
          </cell>
          <cell r="C69" t="str">
            <v>N.LADDIE - TRAVEL ADVANCE</v>
          </cell>
        </row>
        <row r="70">
          <cell r="A70" t="str">
            <v>1603LADC</v>
          </cell>
          <cell r="B70">
            <v>900</v>
          </cell>
          <cell r="C70" t="str">
            <v>N.LADDIE PAID BY CO.</v>
          </cell>
        </row>
        <row r="71">
          <cell r="A71" t="str">
            <v>1603MAHA</v>
          </cell>
          <cell r="B71">
            <v>900</v>
          </cell>
          <cell r="C71" t="str">
            <v>L.MAHYOUT.TRAVEL ADVANCE</v>
          </cell>
        </row>
        <row r="72">
          <cell r="A72" t="str">
            <v>1603MAHC</v>
          </cell>
          <cell r="B72">
            <v>900</v>
          </cell>
          <cell r="C72" t="str">
            <v>L.MAHYOUT.PAID BY CO.</v>
          </cell>
        </row>
        <row r="73">
          <cell r="A73" t="str">
            <v>1603MERA</v>
          </cell>
          <cell r="B73">
            <v>900</v>
          </cell>
          <cell r="C73" t="str">
            <v>B.MERZOUKI.TRAVEL ADVANCE</v>
          </cell>
        </row>
        <row r="74">
          <cell r="A74" t="str">
            <v>1603MERC</v>
          </cell>
          <cell r="B74">
            <v>900</v>
          </cell>
          <cell r="C74" t="str">
            <v>B.MERZOUKI. PAID BY CO.</v>
          </cell>
        </row>
        <row r="75">
          <cell r="A75" t="str">
            <v>1603MOHA</v>
          </cell>
          <cell r="B75">
            <v>900</v>
          </cell>
          <cell r="C75" t="str">
            <v>N BEN MOHAMED - TRAVEL ADVANCE</v>
          </cell>
        </row>
        <row r="76">
          <cell r="A76" t="str">
            <v>1603MOHC</v>
          </cell>
          <cell r="B76">
            <v>900</v>
          </cell>
          <cell r="C76" t="str">
            <v>N.BEN.MOHAMED. PAID BY CO.</v>
          </cell>
        </row>
        <row r="77">
          <cell r="A77" t="str">
            <v>1603MOOA</v>
          </cell>
          <cell r="B77">
            <v>900</v>
          </cell>
          <cell r="C77" t="str">
            <v>N. MOORE - TRAVEL ADVANCE</v>
          </cell>
        </row>
        <row r="78">
          <cell r="A78" t="str">
            <v>1603MOOC</v>
          </cell>
          <cell r="B78">
            <v>900</v>
          </cell>
          <cell r="C78" t="str">
            <v>N. MOORE - PAID BY CO.</v>
          </cell>
        </row>
        <row r="79">
          <cell r="A79" t="str">
            <v>1603NACA</v>
          </cell>
          <cell r="B79">
            <v>900</v>
          </cell>
          <cell r="C79" t="str">
            <v>N.NACIF - TRAVEL ADVANCE</v>
          </cell>
        </row>
        <row r="80">
          <cell r="A80" t="str">
            <v>1603NASA</v>
          </cell>
          <cell r="B80">
            <v>900</v>
          </cell>
          <cell r="C80" t="str">
            <v>A.NASRI . TRAVEL ADVANCE</v>
          </cell>
        </row>
        <row r="81">
          <cell r="A81" t="str">
            <v>1603NASC</v>
          </cell>
          <cell r="B81">
            <v>900</v>
          </cell>
          <cell r="C81" t="str">
            <v>A.NASRI . PAID BY CO.</v>
          </cell>
        </row>
        <row r="82">
          <cell r="A82" t="str">
            <v>1603OUKA</v>
          </cell>
          <cell r="B82">
            <v>900</v>
          </cell>
          <cell r="C82" t="str">
            <v>H.OUKKAL.TRAVEL ADVANCE</v>
          </cell>
        </row>
        <row r="83">
          <cell r="A83" t="str">
            <v>1603OUKC</v>
          </cell>
          <cell r="B83">
            <v>900</v>
          </cell>
          <cell r="C83" t="str">
            <v>H.OUKKAL - PAID BY CO.</v>
          </cell>
        </row>
        <row r="84">
          <cell r="A84" t="str">
            <v>1603PATA</v>
          </cell>
          <cell r="B84">
            <v>900</v>
          </cell>
          <cell r="C84" t="str">
            <v>PATRICK-TRAVEL ADVANCE</v>
          </cell>
        </row>
        <row r="85">
          <cell r="A85" t="str">
            <v>1603PATC</v>
          </cell>
          <cell r="B85">
            <v>900</v>
          </cell>
          <cell r="C85" t="str">
            <v>PATRICK - PAID BY CO.</v>
          </cell>
        </row>
        <row r="86">
          <cell r="A86" t="str">
            <v>1603RADA</v>
          </cell>
          <cell r="B86">
            <v>900</v>
          </cell>
          <cell r="C86" t="str">
            <v>F.A.RADI TRAVEL ADVANCE</v>
          </cell>
        </row>
        <row r="87">
          <cell r="A87" t="str">
            <v>1603RADC</v>
          </cell>
          <cell r="B87">
            <v>900</v>
          </cell>
          <cell r="C87" t="str">
            <v>F.A.RADI - PAID BY CO.</v>
          </cell>
        </row>
        <row r="88">
          <cell r="A88" t="str">
            <v>1603RAFA</v>
          </cell>
          <cell r="B88">
            <v>900</v>
          </cell>
          <cell r="C88" t="str">
            <v>R.BEN MASSAOUD - TRAVEL ADVANCE</v>
          </cell>
        </row>
        <row r="89">
          <cell r="A89" t="str">
            <v>1603RAFC</v>
          </cell>
          <cell r="B89">
            <v>900</v>
          </cell>
          <cell r="C89" t="str">
            <v>R.BEN MESSAOUD - PAID BY CO.</v>
          </cell>
        </row>
        <row r="90">
          <cell r="A90" t="str">
            <v>1603RAJA</v>
          </cell>
          <cell r="B90">
            <v>900</v>
          </cell>
          <cell r="C90" t="str">
            <v>R.MOUBARAK - TRAVEL ADVANCE</v>
          </cell>
        </row>
        <row r="91">
          <cell r="A91" t="str">
            <v>1603RAJC</v>
          </cell>
          <cell r="B91">
            <v>900</v>
          </cell>
          <cell r="C91" t="str">
            <v>R.MOUBARAK - PAID BY CO.</v>
          </cell>
        </row>
        <row r="92">
          <cell r="A92" t="str">
            <v>1603RBHA</v>
          </cell>
          <cell r="B92">
            <v>900</v>
          </cell>
          <cell r="C92" t="str">
            <v>R.BOUHALFAYA - TRAVEL ADVANCE</v>
          </cell>
        </row>
        <row r="93">
          <cell r="A93" t="str">
            <v>1603RBHC</v>
          </cell>
          <cell r="B93">
            <v>900</v>
          </cell>
          <cell r="C93" t="str">
            <v>R.BOUHALFAYA - PAID BY CO.</v>
          </cell>
        </row>
        <row r="94">
          <cell r="A94" t="str">
            <v>1603SADA</v>
          </cell>
          <cell r="B94">
            <v>900</v>
          </cell>
          <cell r="C94" t="str">
            <v>S. BENSADA - TRAVEL ADVANCE</v>
          </cell>
        </row>
        <row r="95">
          <cell r="A95" t="str">
            <v>1603SADC</v>
          </cell>
          <cell r="B95">
            <v>900</v>
          </cell>
          <cell r="C95" t="str">
            <v>S. BENSADA - PAID BY CO.</v>
          </cell>
        </row>
        <row r="96">
          <cell r="A96" t="str">
            <v>1603SBIA</v>
          </cell>
          <cell r="B96">
            <v>900</v>
          </cell>
          <cell r="C96" t="str">
            <v>A.SBIHI TRAVEL ADVANCE</v>
          </cell>
        </row>
        <row r="97">
          <cell r="A97" t="str">
            <v>1603SEBC</v>
          </cell>
          <cell r="B97">
            <v>900</v>
          </cell>
          <cell r="C97" t="str">
            <v>A. SEBTI - PAID BY CO</v>
          </cell>
        </row>
        <row r="98">
          <cell r="A98" t="str">
            <v>1603SHIA</v>
          </cell>
          <cell r="B98">
            <v>900</v>
          </cell>
          <cell r="C98" t="str">
            <v>M.SHILI TRAVEL ADVANCE</v>
          </cell>
        </row>
        <row r="99">
          <cell r="A99" t="str">
            <v>1603SOUA</v>
          </cell>
          <cell r="B99">
            <v>900</v>
          </cell>
          <cell r="C99" t="str">
            <v>K. BEN SOUISSI - TRAVEL ADVANCE</v>
          </cell>
        </row>
        <row r="100">
          <cell r="A100" t="str">
            <v>1603TAOA</v>
          </cell>
          <cell r="B100">
            <v>900</v>
          </cell>
          <cell r="C100" t="str">
            <v>T.BOUSSAID - TRAVEL ADVANCE</v>
          </cell>
        </row>
        <row r="101">
          <cell r="A101" t="str">
            <v>1603TNAA</v>
          </cell>
          <cell r="B101">
            <v>900</v>
          </cell>
          <cell r="C101" t="str">
            <v>A.TNANI - TRAVEL ADVANCE</v>
          </cell>
        </row>
        <row r="102">
          <cell r="A102" t="str">
            <v>1603TNAC</v>
          </cell>
          <cell r="B102">
            <v>900</v>
          </cell>
          <cell r="C102" t="str">
            <v>A.TNANI  - PAID BY CO.</v>
          </cell>
        </row>
        <row r="103">
          <cell r="A103" t="str">
            <v>1603TOUA</v>
          </cell>
          <cell r="B103">
            <v>900</v>
          </cell>
          <cell r="C103" t="str">
            <v>R.EL TOUKHI . TRAVEL ADVANCE</v>
          </cell>
        </row>
        <row r="104">
          <cell r="A104" t="str">
            <v>1603TOUC</v>
          </cell>
          <cell r="B104">
            <v>900</v>
          </cell>
          <cell r="C104" t="str">
            <v>R.EL TOUKHI - PAID BY CO .</v>
          </cell>
        </row>
        <row r="105">
          <cell r="A105" t="str">
            <v>1603TRAA</v>
          </cell>
          <cell r="B105">
            <v>900</v>
          </cell>
          <cell r="C105" t="str">
            <v>J. TRABELSI - TRAVEL ADVANCE</v>
          </cell>
        </row>
        <row r="106">
          <cell r="A106" t="str">
            <v>1603TRAC</v>
          </cell>
          <cell r="B106">
            <v>900</v>
          </cell>
          <cell r="C106" t="str">
            <v>J. TRABELSI - PAID BY CO.</v>
          </cell>
        </row>
        <row r="107">
          <cell r="A107" t="str">
            <v>1603TRIA</v>
          </cell>
          <cell r="B107">
            <v>900</v>
          </cell>
          <cell r="C107" t="str">
            <v>A. TRIA - TRAVEL ADVANCE</v>
          </cell>
        </row>
        <row r="108">
          <cell r="A108" t="str">
            <v>1603TRIC</v>
          </cell>
          <cell r="B108">
            <v>900</v>
          </cell>
          <cell r="C108" t="str">
            <v>A. TRIA - PAID BY CO.</v>
          </cell>
        </row>
        <row r="109">
          <cell r="A109" t="str">
            <v>1603TUIA</v>
          </cell>
          <cell r="B109">
            <v>900</v>
          </cell>
          <cell r="C109" t="str">
            <v>K.TOUILEB . Travel Advance</v>
          </cell>
        </row>
        <row r="110">
          <cell r="A110" t="str">
            <v>1603TUIC</v>
          </cell>
          <cell r="B110">
            <v>900</v>
          </cell>
          <cell r="C110" t="str">
            <v>K.TOUILEB. PAID BY CO.</v>
          </cell>
        </row>
        <row r="111">
          <cell r="A111" t="str">
            <v>1603WADA</v>
          </cell>
          <cell r="B111">
            <v>900</v>
          </cell>
          <cell r="C111" t="str">
            <v>WADI - TRAVEL ADVANCE</v>
          </cell>
        </row>
        <row r="112">
          <cell r="A112" t="str">
            <v>1603WALA</v>
          </cell>
          <cell r="B112">
            <v>900</v>
          </cell>
          <cell r="C112" t="str">
            <v>WALID BEN ABDESSALEM-TRAVEL ADVAN</v>
          </cell>
        </row>
        <row r="113">
          <cell r="A113" t="str">
            <v>1603WALC</v>
          </cell>
          <cell r="B113">
            <v>900</v>
          </cell>
          <cell r="C113" t="str">
            <v>WALID BEN ABDESSALEM-PAID BY CO</v>
          </cell>
        </row>
        <row r="114">
          <cell r="A114" t="str">
            <v>1603YOUA</v>
          </cell>
          <cell r="B114">
            <v>900</v>
          </cell>
          <cell r="C114" t="str">
            <v>M. BEN YOUSSEF - TRAVEL ADVANCE</v>
          </cell>
        </row>
        <row r="115">
          <cell r="A115" t="str">
            <v>1603YOUC</v>
          </cell>
          <cell r="B115">
            <v>900</v>
          </cell>
          <cell r="C115" t="str">
            <v>M.BEN YOUSSEF - PAID BY CO.</v>
          </cell>
        </row>
        <row r="116">
          <cell r="A116" t="str">
            <v>1603ZIAA</v>
          </cell>
          <cell r="B116">
            <v>900</v>
          </cell>
          <cell r="C116" t="str">
            <v>ZIAD CHOUCHANE - TRAVEL ADVANCE</v>
          </cell>
        </row>
        <row r="117">
          <cell r="A117" t="str">
            <v>1603ZIAC</v>
          </cell>
          <cell r="B117">
            <v>900</v>
          </cell>
          <cell r="C117" t="str">
            <v>Z.CHOUCHANE PAID BY CO</v>
          </cell>
        </row>
        <row r="118">
          <cell r="A118" t="str">
            <v>1603ZITA</v>
          </cell>
          <cell r="B118">
            <v>900</v>
          </cell>
          <cell r="C118" t="str">
            <v>F.ZITOUNI TRAVEL ADVANCE</v>
          </cell>
        </row>
        <row r="119">
          <cell r="A119" t="str">
            <v>1603ZITC</v>
          </cell>
          <cell r="B119">
            <v>900</v>
          </cell>
          <cell r="C119" t="str">
            <v>F.ZITOUNI - PAID BY CO</v>
          </cell>
        </row>
        <row r="120">
          <cell r="A120">
            <v>1612</v>
          </cell>
          <cell r="B120">
            <v>650</v>
          </cell>
          <cell r="C120" t="str">
            <v>DEPOSITS</v>
          </cell>
        </row>
        <row r="121">
          <cell r="A121">
            <v>1612</v>
          </cell>
          <cell r="B121">
            <v>900</v>
          </cell>
          <cell r="C121" t="str">
            <v>DEPOSITS</v>
          </cell>
        </row>
        <row r="122">
          <cell r="A122" t="str">
            <v>_x000C_</v>
          </cell>
        </row>
        <row r="123">
          <cell r="A123" t="str">
            <v>Beverage</v>
          </cell>
          <cell r="B123" t="str">
            <v>Servi</v>
          </cell>
          <cell r="C123" t="str">
            <v>ces Tunisia                  List</v>
          </cell>
        </row>
        <row r="125">
          <cell r="B125" t="str">
            <v>Cost</v>
          </cell>
        </row>
        <row r="126">
          <cell r="A126" t="str">
            <v>Account</v>
          </cell>
          <cell r="B126" t="str">
            <v>Centr</v>
          </cell>
          <cell r="C126" t="str">
            <v>e</v>
          </cell>
        </row>
        <row r="127">
          <cell r="A127" t="str">
            <v>-------</v>
          </cell>
          <cell r="B127" t="str">
            <v>-----</v>
          </cell>
          <cell r="C127" t="str">
            <v>-</v>
          </cell>
        </row>
        <row r="129">
          <cell r="A129">
            <v>161201</v>
          </cell>
          <cell r="B129">
            <v>900</v>
          </cell>
          <cell r="C129" t="str">
            <v>DEPOSITS</v>
          </cell>
        </row>
        <row r="130">
          <cell r="A130">
            <v>1706</v>
          </cell>
          <cell r="B130">
            <v>650</v>
          </cell>
          <cell r="C130" t="str">
            <v>FURNITURE &amp; FIXTURES</v>
          </cell>
        </row>
        <row r="131">
          <cell r="A131">
            <v>1706</v>
          </cell>
          <cell r="B131">
            <v>900</v>
          </cell>
          <cell r="C131" t="str">
            <v>FURNITURE &amp; FIXTURES</v>
          </cell>
        </row>
        <row r="132">
          <cell r="A132">
            <v>170601</v>
          </cell>
          <cell r="B132">
            <v>900</v>
          </cell>
          <cell r="C132" t="str">
            <v>FURNITURE &amp; FIXTURES</v>
          </cell>
        </row>
        <row r="133">
          <cell r="A133">
            <v>1707</v>
          </cell>
          <cell r="B133">
            <v>900</v>
          </cell>
          <cell r="C133" t="str">
            <v>CARS</v>
          </cell>
        </row>
        <row r="134">
          <cell r="A134">
            <v>170701</v>
          </cell>
          <cell r="B134">
            <v>900</v>
          </cell>
          <cell r="C134" t="str">
            <v>CARS</v>
          </cell>
        </row>
        <row r="135">
          <cell r="A135">
            <v>1709</v>
          </cell>
          <cell r="B135">
            <v>900</v>
          </cell>
          <cell r="C135" t="str">
            <v>COMPUTER EQUIPMENT</v>
          </cell>
        </row>
        <row r="136">
          <cell r="A136">
            <v>170901</v>
          </cell>
          <cell r="B136">
            <v>900</v>
          </cell>
          <cell r="C136" t="str">
            <v>COMPUTER EQUIPMENT</v>
          </cell>
        </row>
        <row r="137">
          <cell r="A137">
            <v>1806</v>
          </cell>
          <cell r="B137">
            <v>900</v>
          </cell>
          <cell r="C137" t="str">
            <v>DEPRECIATION - FURNITURE</v>
          </cell>
        </row>
        <row r="138">
          <cell r="A138">
            <v>180601</v>
          </cell>
          <cell r="B138">
            <v>900</v>
          </cell>
          <cell r="C138" t="str">
            <v>DEPRECIATION - FURNITURE ALGERIA</v>
          </cell>
        </row>
        <row r="139">
          <cell r="A139">
            <v>1807</v>
          </cell>
          <cell r="B139">
            <v>900</v>
          </cell>
          <cell r="C139" t="str">
            <v>DEPRECIATION - CARS</v>
          </cell>
        </row>
        <row r="140">
          <cell r="A140">
            <v>180701</v>
          </cell>
          <cell r="B140">
            <v>900</v>
          </cell>
          <cell r="C140" t="str">
            <v>DEPRECIATION - CARS ALGERIA</v>
          </cell>
        </row>
        <row r="141">
          <cell r="A141">
            <v>1809</v>
          </cell>
          <cell r="B141">
            <v>900</v>
          </cell>
          <cell r="C141" t="str">
            <v>DEPRECIATION - COMPUTER EQUIPT</v>
          </cell>
        </row>
        <row r="142">
          <cell r="A142">
            <v>180901</v>
          </cell>
          <cell r="B142">
            <v>900</v>
          </cell>
          <cell r="C142" t="str">
            <v>DEPRECIATION - COMPUTER ALGERIA</v>
          </cell>
        </row>
        <row r="143">
          <cell r="A143">
            <v>2110</v>
          </cell>
          <cell r="C143" t="str">
            <v>ACCOUNTS PAYABLE</v>
          </cell>
        </row>
        <row r="144">
          <cell r="A144">
            <v>2222</v>
          </cell>
          <cell r="C144" t="str">
            <v>ACCRUED EXPENSE - GENERAL</v>
          </cell>
        </row>
        <row r="145">
          <cell r="A145">
            <v>222201</v>
          </cell>
          <cell r="C145" t="str">
            <v>ACCRUED EXPENSE - GENERAL</v>
          </cell>
        </row>
        <row r="146">
          <cell r="A146">
            <v>222202</v>
          </cell>
          <cell r="C146" t="str">
            <v>SOA ACCRUALS</v>
          </cell>
        </row>
        <row r="147">
          <cell r="A147">
            <v>2225</v>
          </cell>
          <cell r="B147">
            <v>900</v>
          </cell>
          <cell r="C147" t="str">
            <v>ACCRUED PAYROLLS</v>
          </cell>
        </row>
        <row r="148">
          <cell r="A148">
            <v>2241</v>
          </cell>
          <cell r="B148">
            <v>900</v>
          </cell>
          <cell r="C148" t="str">
            <v>PAYROLL TAXES WITHELD</v>
          </cell>
        </row>
        <row r="149">
          <cell r="A149">
            <v>224101</v>
          </cell>
          <cell r="B149">
            <v>900</v>
          </cell>
          <cell r="C149" t="str">
            <v>EMPLOYEES INSURANCE WITHELD</v>
          </cell>
        </row>
        <row r="150">
          <cell r="A150">
            <v>224102</v>
          </cell>
          <cell r="B150">
            <v>900</v>
          </cell>
          <cell r="C150" t="str">
            <v>EMPLOYEES-EXP-INSURANCE WITHHELD</v>
          </cell>
        </row>
        <row r="151">
          <cell r="A151">
            <v>2244</v>
          </cell>
          <cell r="B151">
            <v>900</v>
          </cell>
          <cell r="C151" t="str">
            <v>ACCRUED PAYROLL TAXES</v>
          </cell>
        </row>
        <row r="152">
          <cell r="A152">
            <v>224401</v>
          </cell>
          <cell r="B152">
            <v>900</v>
          </cell>
          <cell r="C152" t="str">
            <v>ACCRUED PAYROLL TAXES - AVC</v>
          </cell>
        </row>
        <row r="153">
          <cell r="A153">
            <v>224402</v>
          </cell>
          <cell r="B153">
            <v>900</v>
          </cell>
          <cell r="C153" t="str">
            <v>ACCRUED PAYROLL TAXES-Loan</v>
          </cell>
        </row>
        <row r="154">
          <cell r="A154">
            <v>2246</v>
          </cell>
          <cell r="B154">
            <v>900</v>
          </cell>
          <cell r="C154" t="str">
            <v>WITHOLDING TAX</v>
          </cell>
        </row>
        <row r="155">
          <cell r="A155">
            <v>23341000</v>
          </cell>
          <cell r="B155">
            <v>900</v>
          </cell>
          <cell r="C155" t="str">
            <v>C-C ATLANTA CURRENT ACCOUNT $</v>
          </cell>
        </row>
        <row r="156">
          <cell r="A156">
            <v>23341005</v>
          </cell>
          <cell r="B156">
            <v>900</v>
          </cell>
          <cell r="C156" t="str">
            <v>C-C GULF CURRENT A/C $</v>
          </cell>
        </row>
        <row r="157">
          <cell r="A157">
            <v>23341011</v>
          </cell>
          <cell r="B157">
            <v>900</v>
          </cell>
          <cell r="C157" t="str">
            <v>WEST AFRICA LOCATION</v>
          </cell>
        </row>
        <row r="158">
          <cell r="A158">
            <v>23341020</v>
          </cell>
          <cell r="B158">
            <v>900</v>
          </cell>
          <cell r="C158" t="str">
            <v>C-C MIDDLE EAST CURRENT A/C $</v>
          </cell>
        </row>
        <row r="159">
          <cell r="A159">
            <v>23341021</v>
          </cell>
          <cell r="B159">
            <v>900</v>
          </cell>
          <cell r="C159" t="str">
            <v>ALGERIA ACCOUNT</v>
          </cell>
        </row>
        <row r="160">
          <cell r="A160">
            <v>23341043</v>
          </cell>
          <cell r="B160">
            <v>900</v>
          </cell>
          <cell r="C160" t="str">
            <v>SOFT DRINK SERVICES - LEBANON</v>
          </cell>
        </row>
        <row r="161">
          <cell r="A161">
            <v>23341104</v>
          </cell>
          <cell r="B161">
            <v>900</v>
          </cell>
          <cell r="C161" t="str">
            <v>COCA-COLA MAROC</v>
          </cell>
        </row>
        <row r="162">
          <cell r="A162">
            <v>23341500</v>
          </cell>
          <cell r="B162">
            <v>900</v>
          </cell>
          <cell r="C162" t="str">
            <v>RPSI - CURRENT A/C $</v>
          </cell>
        </row>
        <row r="163">
          <cell r="A163">
            <v>23341512</v>
          </cell>
          <cell r="B163">
            <v>900</v>
          </cell>
          <cell r="C163" t="str">
            <v>NIGERIA LOCATION</v>
          </cell>
        </row>
        <row r="164">
          <cell r="A164">
            <v>23341519</v>
          </cell>
          <cell r="B164">
            <v>900</v>
          </cell>
          <cell r="C164" t="str">
            <v>SOUTH AFRICA</v>
          </cell>
        </row>
        <row r="165">
          <cell r="A165">
            <v>23341612</v>
          </cell>
          <cell r="B165">
            <v>900</v>
          </cell>
          <cell r="C165" t="str">
            <v>AIL-CAIRO CURRENT A/C $</v>
          </cell>
        </row>
        <row r="166">
          <cell r="A166">
            <v>23341678</v>
          </cell>
          <cell r="B166">
            <v>900</v>
          </cell>
          <cell r="C166" t="str">
            <v>COCA-COLA MIDI</v>
          </cell>
        </row>
        <row r="167">
          <cell r="A167">
            <v>23341691</v>
          </cell>
          <cell r="B167">
            <v>900</v>
          </cell>
          <cell r="C167" t="str">
            <v>COCA-COLA NEAR EAST</v>
          </cell>
        </row>
        <row r="168">
          <cell r="A168">
            <v>23341693</v>
          </cell>
          <cell r="B168">
            <v>900</v>
          </cell>
          <cell r="C168" t="str">
            <v>SOFT DRINK SERVICES CURRENT A/C $</v>
          </cell>
        </row>
        <row r="169">
          <cell r="A169">
            <v>23341742</v>
          </cell>
          <cell r="B169">
            <v>900</v>
          </cell>
          <cell r="C169" t="str">
            <v>Coca-Cola China</v>
          </cell>
        </row>
        <row r="170">
          <cell r="A170">
            <v>23343124</v>
          </cell>
          <cell r="B170">
            <v>900</v>
          </cell>
          <cell r="C170" t="str">
            <v>SUDAN</v>
          </cell>
        </row>
        <row r="171">
          <cell r="A171">
            <v>2434</v>
          </cell>
          <cell r="B171">
            <v>900</v>
          </cell>
          <cell r="C171" t="str">
            <v>INTER_COMPANY SUSPENSE</v>
          </cell>
        </row>
        <row r="172">
          <cell r="A172">
            <v>28101000</v>
          </cell>
          <cell r="B172">
            <v>900</v>
          </cell>
          <cell r="C172" t="str">
            <v>CAPITAL - TCCEC</v>
          </cell>
        </row>
        <row r="173">
          <cell r="A173">
            <v>28101500</v>
          </cell>
          <cell r="B173">
            <v>900</v>
          </cell>
          <cell r="C173" t="str">
            <v>CAPITAL - RPSInc.</v>
          </cell>
        </row>
        <row r="174">
          <cell r="A174">
            <v>2960</v>
          </cell>
          <cell r="C174" t="str">
            <v>RETAINED EARNINGS</v>
          </cell>
        </row>
        <row r="175">
          <cell r="A175">
            <v>7003</v>
          </cell>
          <cell r="B175">
            <v>700</v>
          </cell>
          <cell r="C175" t="str">
            <v>INTEREST INCOME -OTHER</v>
          </cell>
        </row>
        <row r="176">
          <cell r="A176">
            <v>7009</v>
          </cell>
          <cell r="B176">
            <v>700</v>
          </cell>
          <cell r="C176" t="str">
            <v>FEES &amp; COMMISSIONS INCOME</v>
          </cell>
        </row>
        <row r="177">
          <cell r="A177">
            <v>7009</v>
          </cell>
          <cell r="B177">
            <v>710</v>
          </cell>
          <cell r="C177" t="str">
            <v>FEES &amp; COMMISSIONS INCOME</v>
          </cell>
        </row>
        <row r="178">
          <cell r="A178">
            <v>7012</v>
          </cell>
          <cell r="B178">
            <v>700</v>
          </cell>
          <cell r="C178" t="str">
            <v>SALE OF FIXED ASSETS</v>
          </cell>
        </row>
        <row r="179">
          <cell r="A179">
            <v>701201</v>
          </cell>
          <cell r="B179">
            <v>700</v>
          </cell>
          <cell r="C179" t="str">
            <v>SALES OF FIXED ASSETS-ALGERIA</v>
          </cell>
        </row>
        <row r="180">
          <cell r="A180">
            <v>7014</v>
          </cell>
          <cell r="C180" t="str">
            <v>GAIN ON EXCHANGE</v>
          </cell>
        </row>
        <row r="181">
          <cell r="A181">
            <v>7014</v>
          </cell>
          <cell r="B181">
            <v>700</v>
          </cell>
          <cell r="C181" t="str">
            <v>GAIN ON EXCHANGE</v>
          </cell>
        </row>
        <row r="182">
          <cell r="A182">
            <v>701401</v>
          </cell>
          <cell r="B182">
            <v>700</v>
          </cell>
          <cell r="C182" t="str">
            <v>GAIN ON EXCHANGE ALGERIA</v>
          </cell>
        </row>
        <row r="183">
          <cell r="A183" t="str">
            <v>_x000C_</v>
          </cell>
        </row>
        <row r="184">
          <cell r="A184" t="str">
            <v>Beverage</v>
          </cell>
          <cell r="B184" t="str">
            <v>Servi</v>
          </cell>
          <cell r="C184" t="str">
            <v>ces Tunisia                  List</v>
          </cell>
        </row>
        <row r="186">
          <cell r="B186" t="str">
            <v>Cost</v>
          </cell>
        </row>
        <row r="187">
          <cell r="A187" t="str">
            <v>Account</v>
          </cell>
          <cell r="B187" t="str">
            <v>Centr</v>
          </cell>
          <cell r="C187" t="str">
            <v>e</v>
          </cell>
        </row>
        <row r="188">
          <cell r="A188" t="str">
            <v>-------</v>
          </cell>
          <cell r="B188" t="str">
            <v>-----</v>
          </cell>
          <cell r="C188" t="str">
            <v>-</v>
          </cell>
        </row>
        <row r="190">
          <cell r="A190">
            <v>701402</v>
          </cell>
          <cell r="B190">
            <v>700</v>
          </cell>
          <cell r="C190" t="str">
            <v>GAIN/LOSS ON EXCHANGE</v>
          </cell>
        </row>
        <row r="191">
          <cell r="A191">
            <v>7016</v>
          </cell>
          <cell r="B191">
            <v>700</v>
          </cell>
          <cell r="C191" t="str">
            <v>Nonoperating Additions to Income</v>
          </cell>
        </row>
        <row r="192">
          <cell r="A192">
            <v>8011</v>
          </cell>
          <cell r="B192">
            <v>100</v>
          </cell>
          <cell r="C192" t="str">
            <v>SALARIES AND WAGES</v>
          </cell>
        </row>
        <row r="193">
          <cell r="A193">
            <v>8011</v>
          </cell>
          <cell r="B193">
            <v>150</v>
          </cell>
          <cell r="C193" t="str">
            <v>SALARIES AND WAGES</v>
          </cell>
        </row>
        <row r="194">
          <cell r="A194">
            <v>8011</v>
          </cell>
          <cell r="B194">
            <v>200</v>
          </cell>
          <cell r="C194" t="str">
            <v>SALARIES AND WAGES</v>
          </cell>
        </row>
        <row r="195">
          <cell r="A195">
            <v>8011</v>
          </cell>
          <cell r="B195">
            <v>300</v>
          </cell>
          <cell r="C195" t="str">
            <v>SALARIES AND WAGES</v>
          </cell>
        </row>
        <row r="196">
          <cell r="A196">
            <v>8011</v>
          </cell>
          <cell r="B196">
            <v>600</v>
          </cell>
          <cell r="C196" t="str">
            <v>SALARIES AND WAGES</v>
          </cell>
        </row>
        <row r="197">
          <cell r="A197">
            <v>8011</v>
          </cell>
          <cell r="B197">
            <v>650</v>
          </cell>
          <cell r="C197" t="str">
            <v>SALARIES AND WAGES</v>
          </cell>
        </row>
        <row r="198">
          <cell r="A198">
            <v>8011</v>
          </cell>
          <cell r="B198">
            <v>660</v>
          </cell>
          <cell r="C198" t="str">
            <v>SALARIES AND WAGES</v>
          </cell>
        </row>
        <row r="199">
          <cell r="A199">
            <v>8011</v>
          </cell>
          <cell r="B199">
            <v>670</v>
          </cell>
          <cell r="C199" t="str">
            <v>SALARIES AND WAGES</v>
          </cell>
        </row>
        <row r="200">
          <cell r="A200">
            <v>8011</v>
          </cell>
          <cell r="B200">
            <v>680</v>
          </cell>
          <cell r="C200" t="str">
            <v>SALARIES AND WAGES</v>
          </cell>
        </row>
        <row r="201">
          <cell r="A201">
            <v>8011</v>
          </cell>
          <cell r="B201">
            <v>690</v>
          </cell>
          <cell r="C201" t="str">
            <v>SALARIES AND WAGES</v>
          </cell>
        </row>
        <row r="202">
          <cell r="A202">
            <v>8011</v>
          </cell>
          <cell r="B202">
            <v>800</v>
          </cell>
          <cell r="C202" t="str">
            <v>SALARIES AND WAGES</v>
          </cell>
        </row>
        <row r="203">
          <cell r="A203" t="str">
            <v>8011A</v>
          </cell>
          <cell r="B203">
            <v>100</v>
          </cell>
          <cell r="C203" t="str">
            <v>SALARIES &amp; WAGES</v>
          </cell>
        </row>
        <row r="204">
          <cell r="A204" t="str">
            <v>8011A</v>
          </cell>
          <cell r="B204">
            <v>200</v>
          </cell>
          <cell r="C204" t="str">
            <v>SALARIES &amp; WAGES</v>
          </cell>
        </row>
        <row r="205">
          <cell r="A205" t="str">
            <v>8011A</v>
          </cell>
          <cell r="B205">
            <v>300</v>
          </cell>
          <cell r="C205" t="str">
            <v>SALARIES &amp; WAGES</v>
          </cell>
        </row>
        <row r="206">
          <cell r="A206">
            <v>8012</v>
          </cell>
          <cell r="B206">
            <v>100</v>
          </cell>
          <cell r="C206" t="str">
            <v>SALARY EXPENSE CLEARANCE</v>
          </cell>
        </row>
        <row r="207">
          <cell r="A207">
            <v>8015</v>
          </cell>
          <cell r="B207">
            <v>100</v>
          </cell>
          <cell r="C207" t="str">
            <v>CONTRACT LABOUR EXPENSE</v>
          </cell>
        </row>
        <row r="208">
          <cell r="A208">
            <v>8015</v>
          </cell>
          <cell r="B208">
            <v>200</v>
          </cell>
          <cell r="C208" t="str">
            <v>CONTRACT LABOUR EXPENSE</v>
          </cell>
        </row>
        <row r="209">
          <cell r="A209">
            <v>8015</v>
          </cell>
          <cell r="B209">
            <v>300</v>
          </cell>
          <cell r="C209" t="str">
            <v>CONTRACT LABOUR EXPENSE</v>
          </cell>
        </row>
        <row r="210">
          <cell r="A210">
            <v>8015</v>
          </cell>
          <cell r="B210">
            <v>650</v>
          </cell>
          <cell r="C210" t="str">
            <v>CONTRACT LABOUR EXPENSE</v>
          </cell>
        </row>
        <row r="211">
          <cell r="A211">
            <v>8021</v>
          </cell>
          <cell r="B211">
            <v>100</v>
          </cell>
          <cell r="C211" t="str">
            <v>Consulting Services</v>
          </cell>
        </row>
        <row r="212">
          <cell r="A212">
            <v>8021</v>
          </cell>
          <cell r="B212">
            <v>150</v>
          </cell>
          <cell r="C212" t="str">
            <v>Consulting Services</v>
          </cell>
        </row>
        <row r="213">
          <cell r="A213">
            <v>8021</v>
          </cell>
          <cell r="B213">
            <v>200</v>
          </cell>
          <cell r="C213" t="str">
            <v>Consulting Services</v>
          </cell>
        </row>
        <row r="214">
          <cell r="A214">
            <v>8021</v>
          </cell>
          <cell r="B214">
            <v>300</v>
          </cell>
          <cell r="C214" t="str">
            <v>Consulting Services</v>
          </cell>
        </row>
        <row r="215">
          <cell r="A215">
            <v>8021</v>
          </cell>
          <cell r="B215">
            <v>600</v>
          </cell>
          <cell r="C215" t="str">
            <v>Consulting Services</v>
          </cell>
        </row>
        <row r="216">
          <cell r="A216">
            <v>8021</v>
          </cell>
          <cell r="B216">
            <v>650</v>
          </cell>
          <cell r="C216" t="str">
            <v>Consulting Services</v>
          </cell>
        </row>
        <row r="217">
          <cell r="A217">
            <v>8021</v>
          </cell>
          <cell r="B217">
            <v>660</v>
          </cell>
          <cell r="C217" t="str">
            <v>Consulting Services</v>
          </cell>
        </row>
        <row r="218">
          <cell r="A218">
            <v>8022</v>
          </cell>
          <cell r="B218">
            <v>100</v>
          </cell>
          <cell r="C218" t="str">
            <v>Non-Consulting Services - NEW</v>
          </cell>
        </row>
        <row r="219">
          <cell r="A219">
            <v>8022</v>
          </cell>
          <cell r="B219">
            <v>200</v>
          </cell>
          <cell r="C219" t="str">
            <v>Non-Consulting Services -  NEW</v>
          </cell>
        </row>
        <row r="220">
          <cell r="A220">
            <v>8022</v>
          </cell>
          <cell r="B220">
            <v>300</v>
          </cell>
          <cell r="C220" t="str">
            <v>Non-Consulting Services - NEW</v>
          </cell>
        </row>
        <row r="221">
          <cell r="A221">
            <v>8022</v>
          </cell>
          <cell r="B221">
            <v>600</v>
          </cell>
          <cell r="C221" t="str">
            <v>Non-Consulting Services - NEW</v>
          </cell>
        </row>
        <row r="222">
          <cell r="A222">
            <v>8022</v>
          </cell>
          <cell r="B222">
            <v>650</v>
          </cell>
          <cell r="C222" t="str">
            <v>Non-Consulting Services - NEW</v>
          </cell>
        </row>
        <row r="223">
          <cell r="A223">
            <v>8022</v>
          </cell>
          <cell r="B223">
            <v>660</v>
          </cell>
          <cell r="C223" t="str">
            <v>Non-Consulting Services - NEW</v>
          </cell>
        </row>
        <row r="224">
          <cell r="A224">
            <v>8022</v>
          </cell>
          <cell r="B224">
            <v>680</v>
          </cell>
          <cell r="C224" t="str">
            <v>Non-Consulting Services - NEW</v>
          </cell>
        </row>
        <row r="225">
          <cell r="A225">
            <v>8023</v>
          </cell>
          <cell r="B225">
            <v>100</v>
          </cell>
          <cell r="C225" t="str">
            <v>Non-Consulting Services -GLOB</v>
          </cell>
        </row>
        <row r="226">
          <cell r="A226">
            <v>8023</v>
          </cell>
          <cell r="B226">
            <v>150</v>
          </cell>
          <cell r="C226" t="str">
            <v>Non-Consulting Services -GLOB</v>
          </cell>
        </row>
        <row r="227">
          <cell r="A227">
            <v>8023</v>
          </cell>
          <cell r="B227">
            <v>200</v>
          </cell>
          <cell r="C227" t="str">
            <v>Non-Consulting Services -GLOB</v>
          </cell>
        </row>
        <row r="228">
          <cell r="A228">
            <v>8023</v>
          </cell>
          <cell r="B228">
            <v>300</v>
          </cell>
          <cell r="C228" t="str">
            <v>Non-Consulting Services -GLOB</v>
          </cell>
        </row>
        <row r="229">
          <cell r="A229">
            <v>8023</v>
          </cell>
          <cell r="B229">
            <v>600</v>
          </cell>
          <cell r="C229" t="str">
            <v>Non-Consulting Services -GLOB</v>
          </cell>
        </row>
        <row r="230">
          <cell r="A230">
            <v>8023</v>
          </cell>
          <cell r="B230">
            <v>650</v>
          </cell>
          <cell r="C230" t="str">
            <v>Non-Consulting Services -GLOB</v>
          </cell>
        </row>
        <row r="231">
          <cell r="A231">
            <v>8023</v>
          </cell>
          <cell r="B231">
            <v>660</v>
          </cell>
          <cell r="C231" t="str">
            <v>Non-Consulting Services -GLOB</v>
          </cell>
        </row>
        <row r="232">
          <cell r="A232">
            <v>8031</v>
          </cell>
          <cell r="B232">
            <v>100</v>
          </cell>
          <cell r="C232" t="str">
            <v>PAYROLL TAXES</v>
          </cell>
        </row>
        <row r="233">
          <cell r="A233">
            <v>8031</v>
          </cell>
          <cell r="B233">
            <v>150</v>
          </cell>
          <cell r="C233" t="str">
            <v>PAYROLL TAXES</v>
          </cell>
        </row>
        <row r="234">
          <cell r="A234">
            <v>8031</v>
          </cell>
          <cell r="B234">
            <v>200</v>
          </cell>
          <cell r="C234" t="str">
            <v>PAYROLL TAXES</v>
          </cell>
        </row>
        <row r="235">
          <cell r="A235">
            <v>8031</v>
          </cell>
          <cell r="B235">
            <v>300</v>
          </cell>
          <cell r="C235" t="str">
            <v>PAYROLL TAXES</v>
          </cell>
        </row>
        <row r="236">
          <cell r="A236">
            <v>8031</v>
          </cell>
          <cell r="B236">
            <v>600</v>
          </cell>
          <cell r="C236" t="str">
            <v>PAYROLL TAXES</v>
          </cell>
        </row>
        <row r="237">
          <cell r="A237">
            <v>8031</v>
          </cell>
          <cell r="B237">
            <v>650</v>
          </cell>
          <cell r="C237" t="str">
            <v>PAYROLL TAXES</v>
          </cell>
        </row>
        <row r="238">
          <cell r="A238">
            <v>8031</v>
          </cell>
          <cell r="B238">
            <v>660</v>
          </cell>
          <cell r="C238" t="str">
            <v>PAYROLL TAXES</v>
          </cell>
        </row>
        <row r="239">
          <cell r="A239">
            <v>8031</v>
          </cell>
          <cell r="B239">
            <v>680</v>
          </cell>
          <cell r="C239" t="str">
            <v>PAYROLL TAXES</v>
          </cell>
        </row>
        <row r="240">
          <cell r="A240">
            <v>8031</v>
          </cell>
          <cell r="B240">
            <v>800</v>
          </cell>
          <cell r="C240" t="str">
            <v>PAYROLL TAXES</v>
          </cell>
        </row>
        <row r="241">
          <cell r="A241">
            <v>803101</v>
          </cell>
          <cell r="B241">
            <v>100</v>
          </cell>
          <cell r="C241" t="str">
            <v>PAYROLL TAXES - AVC</v>
          </cell>
        </row>
        <row r="242">
          <cell r="A242">
            <v>803101</v>
          </cell>
          <cell r="B242">
            <v>200</v>
          </cell>
          <cell r="C242" t="str">
            <v>PAYROLL TAXES - AVC</v>
          </cell>
        </row>
        <row r="243">
          <cell r="A243">
            <v>803101</v>
          </cell>
          <cell r="B243">
            <v>300</v>
          </cell>
          <cell r="C243" t="str">
            <v>PAYROLL TAXES - AVC</v>
          </cell>
        </row>
        <row r="244">
          <cell r="A244" t="str">
            <v>_x000C_</v>
          </cell>
        </row>
        <row r="245">
          <cell r="A245" t="str">
            <v>Beverage</v>
          </cell>
          <cell r="B245" t="str">
            <v>Servi</v>
          </cell>
          <cell r="C245" t="str">
            <v>ces Tunisia                  List</v>
          </cell>
        </row>
        <row r="247">
          <cell r="B247" t="str">
            <v>Cost</v>
          </cell>
        </row>
        <row r="248">
          <cell r="A248" t="str">
            <v>Account</v>
          </cell>
          <cell r="B248" t="str">
            <v>Centr</v>
          </cell>
          <cell r="C248" t="str">
            <v>e</v>
          </cell>
        </row>
        <row r="249">
          <cell r="A249" t="str">
            <v>-------</v>
          </cell>
          <cell r="B249" t="str">
            <v>-----</v>
          </cell>
          <cell r="C249" t="str">
            <v>-</v>
          </cell>
        </row>
        <row r="251">
          <cell r="A251">
            <v>803101</v>
          </cell>
          <cell r="B251">
            <v>600</v>
          </cell>
          <cell r="C251" t="str">
            <v>PAYROLL TAXES - AVC</v>
          </cell>
        </row>
        <row r="252">
          <cell r="A252">
            <v>803101</v>
          </cell>
          <cell r="B252">
            <v>660</v>
          </cell>
          <cell r="C252" t="str">
            <v>PAYROLL TAXES - AVC</v>
          </cell>
        </row>
        <row r="253">
          <cell r="A253">
            <v>803101</v>
          </cell>
          <cell r="B253">
            <v>800</v>
          </cell>
          <cell r="C253" t="str">
            <v>PAYROLL TAXES - AVC</v>
          </cell>
        </row>
        <row r="254">
          <cell r="A254" t="str">
            <v>8031A</v>
          </cell>
          <cell r="B254">
            <v>100</v>
          </cell>
          <cell r="C254" t="str">
            <v>PAYROLL TAXES</v>
          </cell>
        </row>
        <row r="255">
          <cell r="A255" t="str">
            <v>8031A</v>
          </cell>
          <cell r="B255">
            <v>200</v>
          </cell>
          <cell r="C255" t="str">
            <v>PAYROLL TAXES</v>
          </cell>
        </row>
        <row r="256">
          <cell r="A256" t="str">
            <v>8031A</v>
          </cell>
          <cell r="B256">
            <v>300</v>
          </cell>
          <cell r="C256" t="str">
            <v>PAYROLL TAXES</v>
          </cell>
        </row>
        <row r="257">
          <cell r="A257">
            <v>8033</v>
          </cell>
          <cell r="B257">
            <v>100</v>
          </cell>
          <cell r="C257" t="str">
            <v>PENSION CONTRIBUTIONS</v>
          </cell>
        </row>
        <row r="258">
          <cell r="A258">
            <v>8033</v>
          </cell>
          <cell r="B258">
            <v>200</v>
          </cell>
          <cell r="C258" t="str">
            <v>PENSION CONTRIBUTIONS</v>
          </cell>
        </row>
        <row r="259">
          <cell r="A259">
            <v>8033</v>
          </cell>
          <cell r="B259">
            <v>600</v>
          </cell>
          <cell r="C259" t="str">
            <v>PENSION CONTRIBUTIONS</v>
          </cell>
        </row>
        <row r="260">
          <cell r="A260">
            <v>8033</v>
          </cell>
          <cell r="B260">
            <v>610</v>
          </cell>
          <cell r="C260" t="str">
            <v>PENSION CONTRIBUTIONS</v>
          </cell>
        </row>
        <row r="261">
          <cell r="A261">
            <v>8033</v>
          </cell>
          <cell r="B261">
            <v>650</v>
          </cell>
          <cell r="C261" t="str">
            <v>PENSION CONTRIBUTIONS</v>
          </cell>
        </row>
        <row r="262">
          <cell r="A262">
            <v>8035</v>
          </cell>
          <cell r="B262">
            <v>100</v>
          </cell>
          <cell r="C262" t="str">
            <v>EMP.HOUSING COSTS+ UTILITIES</v>
          </cell>
        </row>
        <row r="263">
          <cell r="A263">
            <v>8035</v>
          </cell>
          <cell r="B263">
            <v>150</v>
          </cell>
          <cell r="C263" t="str">
            <v>EMP.HOUSING COSTS+ UTILITIES</v>
          </cell>
        </row>
        <row r="264">
          <cell r="A264">
            <v>8035</v>
          </cell>
          <cell r="B264">
            <v>200</v>
          </cell>
          <cell r="C264" t="str">
            <v>EMP.HOUSING COSTS+ UTILITIES</v>
          </cell>
        </row>
        <row r="265">
          <cell r="A265">
            <v>8035</v>
          </cell>
          <cell r="B265">
            <v>300</v>
          </cell>
          <cell r="C265" t="str">
            <v>EMP.HOUSING COSTS+ UTILITIES</v>
          </cell>
        </row>
        <row r="266">
          <cell r="A266">
            <v>8035</v>
          </cell>
          <cell r="B266">
            <v>600</v>
          </cell>
          <cell r="C266" t="str">
            <v>EMP.HOUSING COSTS+ UTILITIES</v>
          </cell>
        </row>
        <row r="267">
          <cell r="A267">
            <v>8035</v>
          </cell>
          <cell r="B267">
            <v>610</v>
          </cell>
          <cell r="C267" t="str">
            <v>EMP.HOUSING COSTS+ UTILITIES</v>
          </cell>
        </row>
        <row r="268">
          <cell r="A268">
            <v>8035</v>
          </cell>
          <cell r="B268">
            <v>650</v>
          </cell>
          <cell r="C268" t="str">
            <v>EMP.HOUSING COSTS+ UTILITIES</v>
          </cell>
        </row>
        <row r="269">
          <cell r="A269">
            <v>8035</v>
          </cell>
          <cell r="B269">
            <v>660</v>
          </cell>
          <cell r="C269" t="str">
            <v>EMP.HOUSING COSTS+ UTILITIES</v>
          </cell>
        </row>
        <row r="270">
          <cell r="A270">
            <v>8035</v>
          </cell>
          <cell r="B270">
            <v>680</v>
          </cell>
          <cell r="C270" t="str">
            <v>EMP.HOUSING COSTS+ UTILITIES</v>
          </cell>
        </row>
        <row r="271">
          <cell r="A271">
            <v>803501</v>
          </cell>
          <cell r="B271">
            <v>100</v>
          </cell>
          <cell r="C271" t="str">
            <v>EMP BEN-HSG COSTS + UTILITIES</v>
          </cell>
        </row>
        <row r="272">
          <cell r="A272">
            <v>803501</v>
          </cell>
          <cell r="B272">
            <v>150</v>
          </cell>
          <cell r="C272" t="str">
            <v>EMP BEN-HSG COSTS + UTILITIES</v>
          </cell>
        </row>
        <row r="273">
          <cell r="A273">
            <v>803501</v>
          </cell>
          <cell r="B273">
            <v>200</v>
          </cell>
          <cell r="C273" t="str">
            <v>EMP BEN-HSG COSTS + UTILITIES</v>
          </cell>
        </row>
        <row r="274">
          <cell r="A274">
            <v>803501</v>
          </cell>
          <cell r="B274">
            <v>300</v>
          </cell>
          <cell r="C274" t="str">
            <v>EMP BEN-HSG COSTS + UTILITIES</v>
          </cell>
        </row>
        <row r="275">
          <cell r="A275">
            <v>803501</v>
          </cell>
          <cell r="B275">
            <v>600</v>
          </cell>
          <cell r="C275" t="str">
            <v>EMP BEN-HSG COSTS + UTILITIES</v>
          </cell>
        </row>
        <row r="276">
          <cell r="A276">
            <v>803501</v>
          </cell>
          <cell r="B276">
            <v>650</v>
          </cell>
          <cell r="C276" t="str">
            <v>EMP BEN-HSG COSTS + UTILITIES</v>
          </cell>
        </row>
        <row r="277">
          <cell r="A277">
            <v>803501</v>
          </cell>
          <cell r="B277">
            <v>660</v>
          </cell>
          <cell r="C277" t="str">
            <v>EMP BEN-HSG COSTS + UTILITIES</v>
          </cell>
        </row>
        <row r="278">
          <cell r="A278">
            <v>803501</v>
          </cell>
          <cell r="B278">
            <v>680</v>
          </cell>
          <cell r="C278" t="str">
            <v>EMP BEN-HSG COSTS + UTILITIES</v>
          </cell>
        </row>
        <row r="279">
          <cell r="A279">
            <v>8037</v>
          </cell>
          <cell r="B279">
            <v>100</v>
          </cell>
          <cell r="C279" t="str">
            <v>STAFF CATERING</v>
          </cell>
        </row>
        <row r="280">
          <cell r="A280">
            <v>8037</v>
          </cell>
          <cell r="B280">
            <v>150</v>
          </cell>
          <cell r="C280" t="str">
            <v>STAFF CATERING</v>
          </cell>
        </row>
        <row r="281">
          <cell r="A281">
            <v>8037</v>
          </cell>
          <cell r="B281">
            <v>300</v>
          </cell>
          <cell r="C281" t="str">
            <v>STAFF CATERING</v>
          </cell>
        </row>
        <row r="282">
          <cell r="A282">
            <v>8037</v>
          </cell>
          <cell r="B282">
            <v>650</v>
          </cell>
          <cell r="C282" t="str">
            <v>STAFF CATERING</v>
          </cell>
        </row>
        <row r="283">
          <cell r="A283">
            <v>8037</v>
          </cell>
          <cell r="B283">
            <v>660</v>
          </cell>
          <cell r="C283" t="str">
            <v>STAFF CATERING</v>
          </cell>
        </row>
        <row r="284">
          <cell r="A284">
            <v>8038</v>
          </cell>
          <cell r="B284">
            <v>100</v>
          </cell>
          <cell r="C284" t="str">
            <v>OFFICE BEVERAGES</v>
          </cell>
        </row>
        <row r="285">
          <cell r="A285">
            <v>8038</v>
          </cell>
          <cell r="B285">
            <v>150</v>
          </cell>
          <cell r="C285" t="str">
            <v>OFFICE BEVERAGES</v>
          </cell>
        </row>
        <row r="286">
          <cell r="A286">
            <v>8038</v>
          </cell>
          <cell r="B286">
            <v>600</v>
          </cell>
          <cell r="C286" t="str">
            <v>OFFICE BEVERAGES</v>
          </cell>
        </row>
        <row r="287">
          <cell r="A287">
            <v>8038</v>
          </cell>
          <cell r="B287">
            <v>650</v>
          </cell>
          <cell r="C287" t="str">
            <v>OFFICE BEVERAGES</v>
          </cell>
        </row>
        <row r="288">
          <cell r="A288">
            <v>8038</v>
          </cell>
          <cell r="B288">
            <v>660</v>
          </cell>
          <cell r="C288" t="str">
            <v>OFFICE BEVERAGES</v>
          </cell>
        </row>
        <row r="289">
          <cell r="A289">
            <v>8039</v>
          </cell>
          <cell r="B289">
            <v>100</v>
          </cell>
          <cell r="C289" t="str">
            <v>SICK SCHEME/EMPLOYEE BENEFITS</v>
          </cell>
        </row>
        <row r="290">
          <cell r="A290">
            <v>8039</v>
          </cell>
          <cell r="B290">
            <v>200</v>
          </cell>
          <cell r="C290" t="str">
            <v>SICK SCHEME/EMPLOYEE BENEFITS</v>
          </cell>
        </row>
        <row r="291">
          <cell r="A291">
            <v>8039</v>
          </cell>
          <cell r="B291">
            <v>300</v>
          </cell>
          <cell r="C291" t="str">
            <v>SICK SCHEME/EMPLOYEE BENEFITS</v>
          </cell>
        </row>
        <row r="292">
          <cell r="A292">
            <v>8039</v>
          </cell>
          <cell r="B292">
            <v>600</v>
          </cell>
          <cell r="C292" t="str">
            <v>SICK SCHEME/EMPLOYEE BENEFITS</v>
          </cell>
        </row>
        <row r="293">
          <cell r="A293">
            <v>8039</v>
          </cell>
          <cell r="B293">
            <v>650</v>
          </cell>
          <cell r="C293" t="str">
            <v>SICK SCHEME/EMPLOYEE BENEFITS</v>
          </cell>
        </row>
        <row r="294">
          <cell r="A294">
            <v>8039</v>
          </cell>
          <cell r="B294">
            <v>660</v>
          </cell>
          <cell r="C294" t="str">
            <v>SICK SCHEME/EMPLOYEE BENEFITS</v>
          </cell>
        </row>
        <row r="295">
          <cell r="A295">
            <v>8039</v>
          </cell>
          <cell r="B295">
            <v>680</v>
          </cell>
          <cell r="C295" t="str">
            <v>SICK SCHEME/EMPLOYEE BENEFITS</v>
          </cell>
        </row>
        <row r="296">
          <cell r="A296">
            <v>803901</v>
          </cell>
          <cell r="B296">
            <v>100</v>
          </cell>
          <cell r="C296" t="str">
            <v>EMPLOYEE BENEFITS HOME LEAVE</v>
          </cell>
        </row>
        <row r="297">
          <cell r="A297">
            <v>803901</v>
          </cell>
          <cell r="B297">
            <v>150</v>
          </cell>
          <cell r="C297" t="str">
            <v>EMPLOYEE BENEFITS HOME LEAVE</v>
          </cell>
        </row>
        <row r="298">
          <cell r="A298">
            <v>803901</v>
          </cell>
          <cell r="B298">
            <v>200</v>
          </cell>
          <cell r="C298" t="str">
            <v>EMPLOYEE BENEFITS</v>
          </cell>
        </row>
        <row r="299">
          <cell r="A299">
            <v>803901</v>
          </cell>
          <cell r="B299">
            <v>300</v>
          </cell>
          <cell r="C299" t="str">
            <v>EMPLOYEE BENEFITS HOME LEAVE</v>
          </cell>
        </row>
        <row r="300">
          <cell r="A300">
            <v>803901</v>
          </cell>
          <cell r="B300">
            <v>600</v>
          </cell>
          <cell r="C300" t="str">
            <v>EMPLOYEE BENEFITS HOME LEAVE</v>
          </cell>
        </row>
        <row r="301">
          <cell r="A301">
            <v>803901</v>
          </cell>
          <cell r="B301">
            <v>650</v>
          </cell>
          <cell r="C301" t="str">
            <v>EMPLOYEE BENEFITS HOME LEAVE</v>
          </cell>
        </row>
        <row r="302">
          <cell r="A302">
            <v>803901</v>
          </cell>
          <cell r="B302">
            <v>660</v>
          </cell>
          <cell r="C302" t="str">
            <v>EMPLOYEE BENEFITS HOME LEAVE</v>
          </cell>
        </row>
        <row r="303">
          <cell r="A303">
            <v>803902</v>
          </cell>
          <cell r="B303">
            <v>100</v>
          </cell>
          <cell r="C303" t="str">
            <v>EMPLOYEE BENEFITS SHCOLLAR FEE</v>
          </cell>
        </row>
        <row r="304">
          <cell r="A304">
            <v>803902</v>
          </cell>
          <cell r="B304">
            <v>150</v>
          </cell>
          <cell r="C304" t="str">
            <v>EMPLOYEE BENEFITS SHCOLLAR FEE</v>
          </cell>
        </row>
        <row r="305">
          <cell r="A305" t="str">
            <v>_x000C_</v>
          </cell>
        </row>
        <row r="306">
          <cell r="A306" t="str">
            <v>Beverage</v>
          </cell>
          <cell r="B306" t="str">
            <v>Servi</v>
          </cell>
          <cell r="C306" t="str">
            <v>ces Tunisia                  List</v>
          </cell>
        </row>
        <row r="308">
          <cell r="B308" t="str">
            <v>Cost</v>
          </cell>
        </row>
        <row r="309">
          <cell r="A309" t="str">
            <v>Account</v>
          </cell>
          <cell r="B309" t="str">
            <v>Centr</v>
          </cell>
          <cell r="C309" t="str">
            <v>e</v>
          </cell>
        </row>
        <row r="310">
          <cell r="A310" t="str">
            <v>-------</v>
          </cell>
          <cell r="B310" t="str">
            <v>-----</v>
          </cell>
          <cell r="C310" t="str">
            <v>-</v>
          </cell>
        </row>
        <row r="312">
          <cell r="A312">
            <v>803902</v>
          </cell>
          <cell r="B312">
            <v>200</v>
          </cell>
          <cell r="C312" t="str">
            <v>EMPLOYEE BENEFITS SHCOLLAR FEE</v>
          </cell>
        </row>
        <row r="313">
          <cell r="A313">
            <v>803902</v>
          </cell>
          <cell r="B313">
            <v>300</v>
          </cell>
          <cell r="C313" t="str">
            <v>EMPLOYEE BENEFITS SHCOLLAR FEE</v>
          </cell>
        </row>
        <row r="314">
          <cell r="A314">
            <v>803902</v>
          </cell>
          <cell r="B314">
            <v>600</v>
          </cell>
          <cell r="C314" t="str">
            <v>EMPLOYEE BENEFITS SHCOLLAR FEE</v>
          </cell>
        </row>
        <row r="315">
          <cell r="A315">
            <v>803902</v>
          </cell>
          <cell r="B315">
            <v>650</v>
          </cell>
          <cell r="C315" t="str">
            <v>EMPLOYEE BENEFITS SHCOLLAR FEE</v>
          </cell>
        </row>
        <row r="316">
          <cell r="A316">
            <v>803902</v>
          </cell>
          <cell r="B316">
            <v>660</v>
          </cell>
          <cell r="C316" t="str">
            <v>EMPLOYEE BENEFITS SHCOLLAR FEE</v>
          </cell>
        </row>
        <row r="317">
          <cell r="A317">
            <v>803903</v>
          </cell>
          <cell r="B317">
            <v>100</v>
          </cell>
          <cell r="C317" t="str">
            <v>Spouse Tuition Reimbursment</v>
          </cell>
        </row>
        <row r="318">
          <cell r="A318">
            <v>803903</v>
          </cell>
          <cell r="B318">
            <v>200</v>
          </cell>
          <cell r="C318" t="str">
            <v>Spouse Tuition Reimbursment</v>
          </cell>
        </row>
        <row r="319">
          <cell r="A319">
            <v>803903</v>
          </cell>
          <cell r="B319">
            <v>660</v>
          </cell>
          <cell r="C319" t="str">
            <v>Spouse Tuition Reimbursment</v>
          </cell>
        </row>
        <row r="320">
          <cell r="A320">
            <v>803904</v>
          </cell>
          <cell r="B320">
            <v>100</v>
          </cell>
          <cell r="C320" t="str">
            <v>SHARE SAVE SCHEME * EXP</v>
          </cell>
        </row>
        <row r="321">
          <cell r="A321" t="str">
            <v>8039A</v>
          </cell>
          <cell r="B321">
            <v>100</v>
          </cell>
          <cell r="C321" t="str">
            <v>SICK SCHEME/EMPLOYEE BENEFITS</v>
          </cell>
        </row>
        <row r="322">
          <cell r="A322" t="str">
            <v>8039A</v>
          </cell>
          <cell r="B322">
            <v>200</v>
          </cell>
          <cell r="C322" t="str">
            <v>SICK SCHEME/EMPLOYEE BENEFITS</v>
          </cell>
        </row>
        <row r="323">
          <cell r="A323" t="str">
            <v>8039A</v>
          </cell>
          <cell r="B323">
            <v>300</v>
          </cell>
          <cell r="C323" t="str">
            <v>SICK SCHEME/EMPLOYEE BENEFITS</v>
          </cell>
        </row>
        <row r="324">
          <cell r="A324">
            <v>8040</v>
          </cell>
          <cell r="B324">
            <v>100</v>
          </cell>
          <cell r="C324" t="str">
            <v>MOVING EXPENSES</v>
          </cell>
        </row>
        <row r="325">
          <cell r="A325">
            <v>8040</v>
          </cell>
          <cell r="B325">
            <v>150</v>
          </cell>
          <cell r="C325" t="str">
            <v>MOVING EXPENSES</v>
          </cell>
        </row>
        <row r="326">
          <cell r="A326">
            <v>8040</v>
          </cell>
          <cell r="B326">
            <v>200</v>
          </cell>
          <cell r="C326" t="str">
            <v>MOVING EXPENSES</v>
          </cell>
        </row>
        <row r="327">
          <cell r="A327">
            <v>8040</v>
          </cell>
          <cell r="B327">
            <v>300</v>
          </cell>
          <cell r="C327" t="str">
            <v>MOVING EXPENSES</v>
          </cell>
        </row>
        <row r="328">
          <cell r="A328">
            <v>8040</v>
          </cell>
          <cell r="B328">
            <v>600</v>
          </cell>
          <cell r="C328" t="str">
            <v>MOVING EXPENSES</v>
          </cell>
        </row>
        <row r="329">
          <cell r="A329">
            <v>8040</v>
          </cell>
          <cell r="B329">
            <v>650</v>
          </cell>
          <cell r="C329" t="str">
            <v>MOVING EXPENSES</v>
          </cell>
        </row>
        <row r="330">
          <cell r="A330">
            <v>8040</v>
          </cell>
          <cell r="B330">
            <v>660</v>
          </cell>
          <cell r="C330" t="str">
            <v>MOVING EXPENSES</v>
          </cell>
        </row>
        <row r="331">
          <cell r="A331">
            <v>8040</v>
          </cell>
          <cell r="B331">
            <v>800</v>
          </cell>
          <cell r="C331" t="str">
            <v>MOVING EXPENSES</v>
          </cell>
        </row>
        <row r="332">
          <cell r="A332">
            <v>804001</v>
          </cell>
          <cell r="B332">
            <v>100</v>
          </cell>
          <cell r="C332" t="str">
            <v>Moving Expenses -Temporary Leavin</v>
          </cell>
        </row>
        <row r="333">
          <cell r="A333">
            <v>804001</v>
          </cell>
          <cell r="B333">
            <v>200</v>
          </cell>
          <cell r="C333" t="str">
            <v>Moving Expenses -Temporary Leavin</v>
          </cell>
        </row>
        <row r="334">
          <cell r="A334">
            <v>804001</v>
          </cell>
          <cell r="B334">
            <v>300</v>
          </cell>
          <cell r="C334" t="str">
            <v>Moving Expenses -Temporary Leavin</v>
          </cell>
        </row>
        <row r="335">
          <cell r="A335">
            <v>804001</v>
          </cell>
          <cell r="B335">
            <v>600</v>
          </cell>
          <cell r="C335" t="str">
            <v>Moving Expenses -Temporary Leavin</v>
          </cell>
        </row>
        <row r="336">
          <cell r="A336">
            <v>8041</v>
          </cell>
          <cell r="B336">
            <v>100</v>
          </cell>
          <cell r="C336" t="str">
            <v>EMPLOYEE MEMBERSHIPS</v>
          </cell>
        </row>
        <row r="337">
          <cell r="A337">
            <v>8041</v>
          </cell>
          <cell r="B337">
            <v>150</v>
          </cell>
          <cell r="C337" t="str">
            <v>EMPLOYEE MEMBERSHIPS</v>
          </cell>
        </row>
        <row r="338">
          <cell r="A338">
            <v>8041</v>
          </cell>
          <cell r="B338">
            <v>200</v>
          </cell>
          <cell r="C338" t="str">
            <v>EMPLOYEE MEMBERSHIPS</v>
          </cell>
        </row>
        <row r="339">
          <cell r="A339">
            <v>8041</v>
          </cell>
          <cell r="B339">
            <v>300</v>
          </cell>
          <cell r="C339" t="str">
            <v>EMPLOYEE MEMBERSHIPS</v>
          </cell>
        </row>
        <row r="340">
          <cell r="A340">
            <v>8041</v>
          </cell>
          <cell r="B340">
            <v>600</v>
          </cell>
          <cell r="C340" t="str">
            <v>EMPLOYEE MEMBERSHIPS</v>
          </cell>
        </row>
        <row r="341">
          <cell r="A341">
            <v>8041</v>
          </cell>
          <cell r="B341">
            <v>650</v>
          </cell>
          <cell r="C341" t="str">
            <v>EMPLOYEE MEMBERSHIPS</v>
          </cell>
        </row>
        <row r="342">
          <cell r="A342">
            <v>8041</v>
          </cell>
          <cell r="B342">
            <v>660</v>
          </cell>
          <cell r="C342" t="str">
            <v>EMPLOYEE MEMBERSHIPS</v>
          </cell>
        </row>
        <row r="343">
          <cell r="A343">
            <v>8041</v>
          </cell>
          <cell r="B343">
            <v>800</v>
          </cell>
          <cell r="C343" t="str">
            <v>EMPLOYEE MEMBERSHIPS</v>
          </cell>
        </row>
        <row r="344">
          <cell r="A344">
            <v>8042</v>
          </cell>
          <cell r="B344">
            <v>100</v>
          </cell>
          <cell r="C344" t="str">
            <v>TRAINING</v>
          </cell>
        </row>
        <row r="345">
          <cell r="A345">
            <v>8042</v>
          </cell>
          <cell r="B345">
            <v>150</v>
          </cell>
          <cell r="C345" t="str">
            <v>TRAINING</v>
          </cell>
        </row>
        <row r="346">
          <cell r="A346">
            <v>8042</v>
          </cell>
          <cell r="B346">
            <v>200</v>
          </cell>
          <cell r="C346" t="str">
            <v>TRAINING</v>
          </cell>
        </row>
        <row r="347">
          <cell r="A347">
            <v>8042</v>
          </cell>
          <cell r="B347">
            <v>300</v>
          </cell>
          <cell r="C347" t="str">
            <v>TRAINING</v>
          </cell>
        </row>
        <row r="348">
          <cell r="A348">
            <v>8042</v>
          </cell>
          <cell r="B348">
            <v>600</v>
          </cell>
          <cell r="C348" t="str">
            <v>TRAINING</v>
          </cell>
        </row>
        <row r="349">
          <cell r="A349">
            <v>8042</v>
          </cell>
          <cell r="B349">
            <v>650</v>
          </cell>
          <cell r="C349" t="str">
            <v>TRAINING</v>
          </cell>
        </row>
        <row r="350">
          <cell r="A350">
            <v>8042</v>
          </cell>
          <cell r="B350">
            <v>660</v>
          </cell>
          <cell r="C350" t="str">
            <v>TRAINING</v>
          </cell>
        </row>
        <row r="351">
          <cell r="A351">
            <v>804201</v>
          </cell>
          <cell r="B351">
            <v>100</v>
          </cell>
          <cell r="C351" t="str">
            <v>TRAINING - SPECIAL PROGRAMS</v>
          </cell>
        </row>
        <row r="352">
          <cell r="A352">
            <v>8046</v>
          </cell>
          <cell r="B352">
            <v>100</v>
          </cell>
          <cell r="C352" t="str">
            <v>Flexible Benefits</v>
          </cell>
        </row>
        <row r="353">
          <cell r="A353">
            <v>8046</v>
          </cell>
          <cell r="B353">
            <v>150</v>
          </cell>
          <cell r="C353" t="str">
            <v>Flexible Benefits</v>
          </cell>
        </row>
        <row r="354">
          <cell r="A354">
            <v>8046</v>
          </cell>
          <cell r="B354">
            <v>200</v>
          </cell>
          <cell r="C354" t="str">
            <v>Flexible Benefits</v>
          </cell>
        </row>
        <row r="355">
          <cell r="A355">
            <v>8046</v>
          </cell>
          <cell r="B355">
            <v>300</v>
          </cell>
          <cell r="C355" t="str">
            <v>Flexible Benefits</v>
          </cell>
        </row>
        <row r="356">
          <cell r="A356">
            <v>8046</v>
          </cell>
          <cell r="B356">
            <v>600</v>
          </cell>
          <cell r="C356" t="str">
            <v>Flexible Benefits</v>
          </cell>
        </row>
        <row r="357">
          <cell r="A357">
            <v>8046</v>
          </cell>
          <cell r="B357">
            <v>660</v>
          </cell>
          <cell r="C357" t="str">
            <v>Flexible Benefits</v>
          </cell>
        </row>
        <row r="358">
          <cell r="A358">
            <v>8046</v>
          </cell>
          <cell r="B358">
            <v>800</v>
          </cell>
          <cell r="C358" t="str">
            <v>Flexible Benefits</v>
          </cell>
        </row>
        <row r="359">
          <cell r="A359">
            <v>805101</v>
          </cell>
          <cell r="B359">
            <v>100</v>
          </cell>
          <cell r="C359" t="str">
            <v>TRAVEL - TRANSPORT</v>
          </cell>
        </row>
        <row r="360">
          <cell r="A360">
            <v>805101</v>
          </cell>
          <cell r="B360">
            <v>150</v>
          </cell>
          <cell r="C360" t="str">
            <v>TRAVEL - TRANSPORT</v>
          </cell>
        </row>
        <row r="361">
          <cell r="A361">
            <v>805101</v>
          </cell>
          <cell r="B361">
            <v>200</v>
          </cell>
          <cell r="C361" t="str">
            <v>TRAVEL - TRANSPORT</v>
          </cell>
        </row>
        <row r="362">
          <cell r="A362">
            <v>805101</v>
          </cell>
          <cell r="B362">
            <v>300</v>
          </cell>
          <cell r="C362" t="str">
            <v>TRAVEL - TRANSPORT</v>
          </cell>
        </row>
        <row r="363">
          <cell r="A363">
            <v>805101</v>
          </cell>
          <cell r="B363">
            <v>600</v>
          </cell>
          <cell r="C363" t="str">
            <v>TRAVEL - TRANSPORT</v>
          </cell>
        </row>
        <row r="364">
          <cell r="A364">
            <v>805101</v>
          </cell>
          <cell r="B364">
            <v>650</v>
          </cell>
          <cell r="C364" t="str">
            <v>TRAVEL - TRANSPORT</v>
          </cell>
        </row>
        <row r="365">
          <cell r="A365">
            <v>805101</v>
          </cell>
          <cell r="B365">
            <v>660</v>
          </cell>
          <cell r="C365" t="str">
            <v>TRAVEL - TRANSPORT</v>
          </cell>
        </row>
        <row r="366">
          <cell r="A366" t="str">
            <v>_x000C_</v>
          </cell>
        </row>
        <row r="367">
          <cell r="A367" t="str">
            <v>Beverage</v>
          </cell>
          <cell r="B367" t="str">
            <v>Servi</v>
          </cell>
          <cell r="C367" t="str">
            <v>ces Tunisia                  List</v>
          </cell>
        </row>
        <row r="369">
          <cell r="B369" t="str">
            <v>Cost</v>
          </cell>
        </row>
        <row r="370">
          <cell r="A370" t="str">
            <v>Account</v>
          </cell>
          <cell r="B370" t="str">
            <v>Centr</v>
          </cell>
          <cell r="C370" t="str">
            <v>e</v>
          </cell>
        </row>
        <row r="371">
          <cell r="A371" t="str">
            <v>-------</v>
          </cell>
          <cell r="B371" t="str">
            <v>-----</v>
          </cell>
          <cell r="C371" t="str">
            <v>-</v>
          </cell>
        </row>
        <row r="373">
          <cell r="A373">
            <v>805101</v>
          </cell>
          <cell r="B373">
            <v>680</v>
          </cell>
          <cell r="C373" t="str">
            <v>TRAVEL - TRANSPORT</v>
          </cell>
        </row>
        <row r="374">
          <cell r="A374">
            <v>805102</v>
          </cell>
          <cell r="B374">
            <v>100</v>
          </cell>
          <cell r="C374" t="str">
            <v>TRAVEL - ACCOMODATION</v>
          </cell>
        </row>
        <row r="375">
          <cell r="A375">
            <v>805102</v>
          </cell>
          <cell r="B375">
            <v>150</v>
          </cell>
          <cell r="C375" t="str">
            <v>TRAVEL - ACCOMODATION</v>
          </cell>
        </row>
        <row r="376">
          <cell r="A376">
            <v>805102</v>
          </cell>
          <cell r="B376">
            <v>200</v>
          </cell>
          <cell r="C376" t="str">
            <v>TRAVEL - ACCOMODATION</v>
          </cell>
        </row>
        <row r="377">
          <cell r="A377">
            <v>805102</v>
          </cell>
          <cell r="B377">
            <v>300</v>
          </cell>
          <cell r="C377" t="str">
            <v>TRAVEL - ACCOMODATION</v>
          </cell>
        </row>
        <row r="378">
          <cell r="A378">
            <v>805102</v>
          </cell>
          <cell r="B378">
            <v>600</v>
          </cell>
          <cell r="C378" t="str">
            <v>TRAVEL - ACCOMODATION</v>
          </cell>
        </row>
        <row r="379">
          <cell r="A379">
            <v>805102</v>
          </cell>
          <cell r="B379">
            <v>650</v>
          </cell>
          <cell r="C379" t="str">
            <v>TRAVEL - ACCOMODATION</v>
          </cell>
        </row>
        <row r="380">
          <cell r="A380">
            <v>805102</v>
          </cell>
          <cell r="B380">
            <v>660</v>
          </cell>
          <cell r="C380" t="str">
            <v>TRAVEL - ACCOMODATION</v>
          </cell>
        </row>
        <row r="381">
          <cell r="A381">
            <v>805102</v>
          </cell>
          <cell r="B381">
            <v>680</v>
          </cell>
          <cell r="C381" t="str">
            <v>TRAVEL - ACCOMODATION</v>
          </cell>
        </row>
        <row r="382">
          <cell r="A382" t="str">
            <v>805102A</v>
          </cell>
          <cell r="B382">
            <v>100</v>
          </cell>
          <cell r="C382" t="str">
            <v>TRAVEL - ACCOMODATION</v>
          </cell>
        </row>
        <row r="383">
          <cell r="A383" t="str">
            <v>805102A</v>
          </cell>
          <cell r="B383">
            <v>200</v>
          </cell>
          <cell r="C383" t="str">
            <v>TRAVEL - ACCOMODATION</v>
          </cell>
        </row>
        <row r="384">
          <cell r="A384">
            <v>805103</v>
          </cell>
          <cell r="B384">
            <v>100</v>
          </cell>
          <cell r="C384" t="str">
            <v>TRAVEL - CAR RENTAL</v>
          </cell>
        </row>
        <row r="385">
          <cell r="A385">
            <v>805103</v>
          </cell>
          <cell r="B385">
            <v>150</v>
          </cell>
          <cell r="C385" t="str">
            <v>TRAVEL - CAR RENTAL</v>
          </cell>
        </row>
        <row r="386">
          <cell r="A386">
            <v>805103</v>
          </cell>
          <cell r="B386">
            <v>200</v>
          </cell>
          <cell r="C386" t="str">
            <v>TRAVEL - CAR RENTAL</v>
          </cell>
        </row>
        <row r="387">
          <cell r="A387">
            <v>805103</v>
          </cell>
          <cell r="B387">
            <v>300</v>
          </cell>
          <cell r="C387" t="str">
            <v>TRAVEL - CAR RENTAL</v>
          </cell>
        </row>
        <row r="388">
          <cell r="A388">
            <v>805103</v>
          </cell>
          <cell r="B388">
            <v>600</v>
          </cell>
          <cell r="C388" t="str">
            <v>TRAVEL - CAR RENTAL</v>
          </cell>
        </row>
        <row r="389">
          <cell r="A389">
            <v>805103</v>
          </cell>
          <cell r="B389">
            <v>650</v>
          </cell>
          <cell r="C389" t="str">
            <v>TRAVEL - CAR RENTAL</v>
          </cell>
        </row>
        <row r="390">
          <cell r="A390">
            <v>805103</v>
          </cell>
          <cell r="B390">
            <v>660</v>
          </cell>
          <cell r="C390" t="str">
            <v>TRAVEL - CAR RENTAL</v>
          </cell>
        </row>
        <row r="391">
          <cell r="A391">
            <v>805104</v>
          </cell>
          <cell r="B391">
            <v>100</v>
          </cell>
          <cell r="C391" t="str">
            <v>TRAVEL - OTHERS</v>
          </cell>
        </row>
        <row r="392">
          <cell r="A392">
            <v>805104</v>
          </cell>
          <cell r="B392">
            <v>150</v>
          </cell>
          <cell r="C392" t="str">
            <v>TRAVEL - OTHERS</v>
          </cell>
        </row>
        <row r="393">
          <cell r="A393">
            <v>805104</v>
          </cell>
          <cell r="B393">
            <v>200</v>
          </cell>
          <cell r="C393" t="str">
            <v>TRAVEL - OTHERS</v>
          </cell>
        </row>
        <row r="394">
          <cell r="A394">
            <v>805104</v>
          </cell>
          <cell r="B394">
            <v>300</v>
          </cell>
          <cell r="C394" t="str">
            <v>TRAVEL - OTHERS</v>
          </cell>
        </row>
        <row r="395">
          <cell r="A395">
            <v>805104</v>
          </cell>
          <cell r="B395">
            <v>600</v>
          </cell>
          <cell r="C395" t="str">
            <v>TRAVEL - OTHERS</v>
          </cell>
        </row>
        <row r="396">
          <cell r="A396">
            <v>805104</v>
          </cell>
          <cell r="B396">
            <v>650</v>
          </cell>
          <cell r="C396" t="str">
            <v>TRAVEL - OTHERS</v>
          </cell>
        </row>
        <row r="397">
          <cell r="A397">
            <v>805104</v>
          </cell>
          <cell r="B397">
            <v>660</v>
          </cell>
          <cell r="C397" t="str">
            <v>TRAVEL - OTHERS</v>
          </cell>
        </row>
        <row r="398">
          <cell r="A398">
            <v>8052</v>
          </cell>
          <cell r="B398">
            <v>100</v>
          </cell>
          <cell r="C398" t="str">
            <v>MEALS</v>
          </cell>
        </row>
        <row r="399">
          <cell r="A399">
            <v>8052</v>
          </cell>
          <cell r="B399">
            <v>150</v>
          </cell>
          <cell r="C399" t="str">
            <v>MEALS</v>
          </cell>
        </row>
        <row r="400">
          <cell r="A400">
            <v>8052</v>
          </cell>
          <cell r="B400">
            <v>200</v>
          </cell>
          <cell r="C400" t="str">
            <v>MEALS</v>
          </cell>
        </row>
        <row r="401">
          <cell r="A401">
            <v>8052</v>
          </cell>
          <cell r="B401">
            <v>300</v>
          </cell>
          <cell r="C401" t="str">
            <v>MEALS</v>
          </cell>
        </row>
        <row r="402">
          <cell r="A402">
            <v>8052</v>
          </cell>
          <cell r="B402">
            <v>600</v>
          </cell>
          <cell r="C402" t="str">
            <v>MEALS</v>
          </cell>
        </row>
        <row r="403">
          <cell r="A403">
            <v>8052</v>
          </cell>
          <cell r="B403">
            <v>650</v>
          </cell>
          <cell r="C403" t="str">
            <v>MEALS</v>
          </cell>
        </row>
        <row r="404">
          <cell r="A404">
            <v>8052</v>
          </cell>
          <cell r="B404">
            <v>660</v>
          </cell>
          <cell r="C404" t="str">
            <v>MEALS</v>
          </cell>
        </row>
        <row r="405">
          <cell r="A405">
            <v>8053</v>
          </cell>
          <cell r="B405">
            <v>100</v>
          </cell>
          <cell r="C405" t="str">
            <v>ENTERTAINMENT</v>
          </cell>
        </row>
        <row r="406">
          <cell r="A406">
            <v>8053</v>
          </cell>
          <cell r="B406">
            <v>150</v>
          </cell>
          <cell r="C406" t="str">
            <v>ENTERTAINMENT</v>
          </cell>
        </row>
        <row r="407">
          <cell r="A407">
            <v>8053</v>
          </cell>
          <cell r="B407">
            <v>200</v>
          </cell>
          <cell r="C407" t="str">
            <v>ENTERTAINMENT</v>
          </cell>
        </row>
        <row r="408">
          <cell r="A408">
            <v>8053</v>
          </cell>
          <cell r="B408">
            <v>300</v>
          </cell>
          <cell r="C408" t="str">
            <v>ENTERTAINMENT</v>
          </cell>
        </row>
        <row r="409">
          <cell r="A409">
            <v>8053</v>
          </cell>
          <cell r="B409">
            <v>600</v>
          </cell>
          <cell r="C409" t="str">
            <v>ENTERTAINMENT</v>
          </cell>
        </row>
        <row r="410">
          <cell r="A410">
            <v>8053</v>
          </cell>
          <cell r="B410">
            <v>650</v>
          </cell>
          <cell r="C410" t="str">
            <v>ENTERTAINMENT</v>
          </cell>
        </row>
        <row r="411">
          <cell r="A411">
            <v>8053</v>
          </cell>
          <cell r="B411">
            <v>660</v>
          </cell>
          <cell r="C411" t="str">
            <v>ENTERTAINMENT</v>
          </cell>
        </row>
        <row r="412">
          <cell r="A412">
            <v>8053</v>
          </cell>
          <cell r="B412">
            <v>680</v>
          </cell>
          <cell r="C412" t="str">
            <v>ENTERTAINMENT</v>
          </cell>
        </row>
        <row r="413">
          <cell r="A413">
            <v>8054</v>
          </cell>
          <cell r="B413">
            <v>100</v>
          </cell>
          <cell r="C413" t="str">
            <v>Recruitment / OUT PLACEMENT</v>
          </cell>
        </row>
        <row r="414">
          <cell r="A414">
            <v>8054</v>
          </cell>
          <cell r="B414">
            <v>150</v>
          </cell>
          <cell r="C414" t="str">
            <v>Recruitment / OUT PLACEMENT</v>
          </cell>
        </row>
        <row r="415">
          <cell r="A415">
            <v>8054</v>
          </cell>
          <cell r="B415">
            <v>200</v>
          </cell>
          <cell r="C415" t="str">
            <v>Recruitment / OUT PLACEMENT</v>
          </cell>
        </row>
        <row r="416">
          <cell r="A416">
            <v>8054</v>
          </cell>
          <cell r="B416">
            <v>300</v>
          </cell>
          <cell r="C416" t="str">
            <v>Recruitment / OUT PLACEMENT</v>
          </cell>
        </row>
        <row r="417">
          <cell r="A417">
            <v>8054</v>
          </cell>
          <cell r="B417">
            <v>600</v>
          </cell>
          <cell r="C417" t="str">
            <v>Recruitment / OUT PLACEMENT</v>
          </cell>
        </row>
        <row r="418">
          <cell r="A418">
            <v>8054</v>
          </cell>
          <cell r="B418">
            <v>650</v>
          </cell>
          <cell r="C418" t="str">
            <v>Recruitment / OUT PLACEMENT</v>
          </cell>
        </row>
        <row r="419">
          <cell r="A419">
            <v>8054</v>
          </cell>
          <cell r="B419">
            <v>660</v>
          </cell>
          <cell r="C419" t="str">
            <v>Recruitment / OUT PLACEMENT</v>
          </cell>
        </row>
        <row r="420">
          <cell r="A420">
            <v>8054</v>
          </cell>
          <cell r="B420">
            <v>680</v>
          </cell>
          <cell r="C420" t="str">
            <v>Recruitment / OUT PLACEMENT</v>
          </cell>
        </row>
        <row r="421">
          <cell r="A421">
            <v>8060</v>
          </cell>
          <cell r="B421">
            <v>100</v>
          </cell>
          <cell r="C421" t="str">
            <v>COMPANY MEETINGS</v>
          </cell>
        </row>
        <row r="422">
          <cell r="A422">
            <v>8060</v>
          </cell>
          <cell r="B422">
            <v>200</v>
          </cell>
          <cell r="C422" t="str">
            <v>COMPANY MEETINGS</v>
          </cell>
        </row>
        <row r="423">
          <cell r="A423">
            <v>8070</v>
          </cell>
          <cell r="B423">
            <v>100</v>
          </cell>
          <cell r="C423" t="str">
            <v>CO. MEMBERSHIPS</v>
          </cell>
        </row>
        <row r="424">
          <cell r="A424">
            <v>8070</v>
          </cell>
          <cell r="B424">
            <v>200</v>
          </cell>
          <cell r="C424" t="str">
            <v>CO. MEMBERSHIPS</v>
          </cell>
        </row>
        <row r="425">
          <cell r="A425">
            <v>8070</v>
          </cell>
          <cell r="B425">
            <v>650</v>
          </cell>
          <cell r="C425" t="str">
            <v>CO. MEMBERSHIPS</v>
          </cell>
        </row>
        <row r="426">
          <cell r="A426">
            <v>807001</v>
          </cell>
          <cell r="B426">
            <v>100</v>
          </cell>
          <cell r="C426" t="str">
            <v>SUBSCRIPTIONS</v>
          </cell>
        </row>
        <row r="427">
          <cell r="A427" t="str">
            <v>_x000C_</v>
          </cell>
        </row>
        <row r="428">
          <cell r="A428" t="str">
            <v>Beverage</v>
          </cell>
          <cell r="B428" t="str">
            <v>Servi</v>
          </cell>
          <cell r="C428" t="str">
            <v>ces Tunisia                  List</v>
          </cell>
        </row>
        <row r="430">
          <cell r="B430" t="str">
            <v>Cost</v>
          </cell>
        </row>
        <row r="431">
          <cell r="A431" t="str">
            <v>Account</v>
          </cell>
          <cell r="B431" t="str">
            <v>Centr</v>
          </cell>
          <cell r="C431" t="str">
            <v>e</v>
          </cell>
        </row>
        <row r="432">
          <cell r="A432" t="str">
            <v>-------</v>
          </cell>
          <cell r="B432" t="str">
            <v>-----</v>
          </cell>
          <cell r="C432" t="str">
            <v>-</v>
          </cell>
        </row>
        <row r="434">
          <cell r="A434">
            <v>807001</v>
          </cell>
          <cell r="B434">
            <v>150</v>
          </cell>
          <cell r="C434" t="str">
            <v>SUBSCRIPTIONS</v>
          </cell>
        </row>
        <row r="435">
          <cell r="A435">
            <v>807001</v>
          </cell>
          <cell r="B435">
            <v>200</v>
          </cell>
          <cell r="C435" t="str">
            <v>SUBSCRIPTIONS</v>
          </cell>
        </row>
        <row r="436">
          <cell r="A436">
            <v>807001</v>
          </cell>
          <cell r="B436">
            <v>300</v>
          </cell>
          <cell r="C436" t="str">
            <v>SUBSCRIPTIONS</v>
          </cell>
        </row>
        <row r="437">
          <cell r="A437">
            <v>807001</v>
          </cell>
          <cell r="B437">
            <v>600</v>
          </cell>
          <cell r="C437" t="str">
            <v>SUBSCRIPTIONS</v>
          </cell>
        </row>
        <row r="438">
          <cell r="A438">
            <v>807001</v>
          </cell>
          <cell r="B438">
            <v>650</v>
          </cell>
          <cell r="C438" t="str">
            <v>SUBSCRIPTIONS</v>
          </cell>
        </row>
        <row r="439">
          <cell r="A439">
            <v>807001</v>
          </cell>
          <cell r="B439">
            <v>660</v>
          </cell>
          <cell r="C439" t="str">
            <v>SUBSCRIPTIONS</v>
          </cell>
        </row>
        <row r="440">
          <cell r="A440">
            <v>807002</v>
          </cell>
          <cell r="B440">
            <v>100</v>
          </cell>
          <cell r="C440" t="str">
            <v>BOOKS / MANUALS</v>
          </cell>
        </row>
        <row r="441">
          <cell r="A441">
            <v>807002</v>
          </cell>
          <cell r="B441">
            <v>150</v>
          </cell>
          <cell r="C441" t="str">
            <v>BOOKS / MANUALS</v>
          </cell>
        </row>
        <row r="442">
          <cell r="A442">
            <v>807002</v>
          </cell>
          <cell r="B442">
            <v>200</v>
          </cell>
          <cell r="C442" t="str">
            <v>BOOKS / MANUALS</v>
          </cell>
        </row>
        <row r="443">
          <cell r="A443">
            <v>807002</v>
          </cell>
          <cell r="B443">
            <v>600</v>
          </cell>
          <cell r="C443" t="str">
            <v>BOOKS / MANUALS</v>
          </cell>
        </row>
        <row r="444">
          <cell r="A444">
            <v>807002</v>
          </cell>
          <cell r="B444">
            <v>660</v>
          </cell>
          <cell r="C444" t="str">
            <v>BOOKS / MANUALS</v>
          </cell>
        </row>
        <row r="445">
          <cell r="A445">
            <v>8080</v>
          </cell>
          <cell r="B445">
            <v>100</v>
          </cell>
          <cell r="C445" t="str">
            <v>DONATIONS</v>
          </cell>
        </row>
        <row r="446">
          <cell r="A446">
            <v>8080</v>
          </cell>
          <cell r="B446">
            <v>200</v>
          </cell>
          <cell r="C446" t="str">
            <v>DONATIONS</v>
          </cell>
        </row>
        <row r="447">
          <cell r="A447">
            <v>8083</v>
          </cell>
          <cell r="B447">
            <v>100</v>
          </cell>
          <cell r="C447" t="str">
            <v>TAX ADVISORY SERVICES</v>
          </cell>
        </row>
        <row r="448">
          <cell r="A448">
            <v>8083</v>
          </cell>
          <cell r="B448">
            <v>150</v>
          </cell>
          <cell r="C448" t="str">
            <v>TAX ADVISORY SERVICES</v>
          </cell>
        </row>
        <row r="449">
          <cell r="A449">
            <v>8083</v>
          </cell>
          <cell r="B449">
            <v>200</v>
          </cell>
          <cell r="C449" t="str">
            <v>TAX ADVISORY SERVICES</v>
          </cell>
        </row>
        <row r="450">
          <cell r="A450">
            <v>8083</v>
          </cell>
          <cell r="B450">
            <v>300</v>
          </cell>
          <cell r="C450" t="str">
            <v>TAX ADVISORY SERVICES</v>
          </cell>
        </row>
        <row r="451">
          <cell r="A451">
            <v>8083</v>
          </cell>
          <cell r="B451">
            <v>600</v>
          </cell>
          <cell r="C451" t="str">
            <v>TAX ADVISORY SERVICES</v>
          </cell>
        </row>
        <row r="452">
          <cell r="A452">
            <v>8083</v>
          </cell>
          <cell r="B452">
            <v>650</v>
          </cell>
          <cell r="C452" t="str">
            <v>TAX ADVISORY SERVICES</v>
          </cell>
        </row>
        <row r="453">
          <cell r="A453">
            <v>8083</v>
          </cell>
          <cell r="B453">
            <v>660</v>
          </cell>
          <cell r="C453" t="str">
            <v>TAX ADVISORY SERVICES</v>
          </cell>
        </row>
        <row r="454">
          <cell r="A454" t="str">
            <v>8083A</v>
          </cell>
          <cell r="B454">
            <v>100</v>
          </cell>
          <cell r="C454" t="str">
            <v>TAX ADVISORY SERVICES</v>
          </cell>
        </row>
        <row r="455">
          <cell r="A455">
            <v>8084</v>
          </cell>
          <cell r="B455">
            <v>100</v>
          </cell>
          <cell r="C455" t="str">
            <v>AUDIT EXPENSES</v>
          </cell>
        </row>
        <row r="456">
          <cell r="A456">
            <v>8090</v>
          </cell>
          <cell r="B456">
            <v>100</v>
          </cell>
          <cell r="C456" t="str">
            <v>OUTSIDE SERVICES - MIS</v>
          </cell>
        </row>
        <row r="457">
          <cell r="A457">
            <v>8090</v>
          </cell>
          <cell r="B457">
            <v>150</v>
          </cell>
          <cell r="C457" t="str">
            <v>OUTSIDE SERVICES - MIS</v>
          </cell>
        </row>
        <row r="458">
          <cell r="A458">
            <v>8090</v>
          </cell>
          <cell r="B458">
            <v>200</v>
          </cell>
          <cell r="C458" t="str">
            <v>OUTSIDE SERVICES - MIS</v>
          </cell>
        </row>
        <row r="459">
          <cell r="A459">
            <v>8090</v>
          </cell>
          <cell r="B459">
            <v>300</v>
          </cell>
          <cell r="C459" t="str">
            <v>OUTSIDE SERVICES - MIS</v>
          </cell>
        </row>
        <row r="460">
          <cell r="A460">
            <v>8090</v>
          </cell>
          <cell r="B460">
            <v>600</v>
          </cell>
          <cell r="C460" t="str">
            <v>OUTSIDE SERVICES - MIS</v>
          </cell>
        </row>
        <row r="461">
          <cell r="A461">
            <v>8090</v>
          </cell>
          <cell r="B461">
            <v>650</v>
          </cell>
          <cell r="C461" t="str">
            <v>OUTSIDE SERVICES - MIS</v>
          </cell>
        </row>
        <row r="462">
          <cell r="A462">
            <v>8090</v>
          </cell>
          <cell r="B462">
            <v>660</v>
          </cell>
          <cell r="C462" t="str">
            <v>OUTSIDE SERVICES - MIS</v>
          </cell>
        </row>
        <row r="463">
          <cell r="A463">
            <v>8096</v>
          </cell>
          <cell r="B463">
            <v>100</v>
          </cell>
          <cell r="C463" t="str">
            <v>LEGAL COSTS</v>
          </cell>
        </row>
        <row r="464">
          <cell r="A464">
            <v>8096</v>
          </cell>
          <cell r="B464">
            <v>300</v>
          </cell>
          <cell r="C464" t="str">
            <v>LEGAL COSTS</v>
          </cell>
        </row>
        <row r="465">
          <cell r="A465">
            <v>8096</v>
          </cell>
          <cell r="B465">
            <v>650</v>
          </cell>
          <cell r="C465" t="str">
            <v>LEGAL COSTS</v>
          </cell>
        </row>
        <row r="466">
          <cell r="A466" t="str">
            <v>8096A</v>
          </cell>
          <cell r="B466">
            <v>100</v>
          </cell>
          <cell r="C466" t="str">
            <v>LEGAL COSTS</v>
          </cell>
        </row>
        <row r="467">
          <cell r="A467">
            <v>8141</v>
          </cell>
          <cell r="B467">
            <v>100</v>
          </cell>
          <cell r="C467" t="str">
            <v>RENT OF PREMISES</v>
          </cell>
        </row>
        <row r="468">
          <cell r="A468">
            <v>8141</v>
          </cell>
          <cell r="B468">
            <v>200</v>
          </cell>
          <cell r="C468" t="str">
            <v>RENT OF PREMISES</v>
          </cell>
        </row>
        <row r="469">
          <cell r="A469">
            <v>8141</v>
          </cell>
          <cell r="B469">
            <v>300</v>
          </cell>
          <cell r="C469" t="str">
            <v>RENT OF PREMISES</v>
          </cell>
        </row>
        <row r="470">
          <cell r="A470">
            <v>8141</v>
          </cell>
          <cell r="B470">
            <v>650</v>
          </cell>
          <cell r="C470" t="str">
            <v>RENT OF PREMISES</v>
          </cell>
        </row>
        <row r="471">
          <cell r="A471">
            <v>8142</v>
          </cell>
          <cell r="B471">
            <v>100</v>
          </cell>
          <cell r="C471" t="str">
            <v>ELECTRICITY, GAS ETC.</v>
          </cell>
        </row>
        <row r="472">
          <cell r="A472">
            <v>8142</v>
          </cell>
          <cell r="B472">
            <v>150</v>
          </cell>
          <cell r="C472" t="str">
            <v>ELECTRICITY, GAS ETC.</v>
          </cell>
        </row>
        <row r="473">
          <cell r="A473">
            <v>8142</v>
          </cell>
          <cell r="B473">
            <v>300</v>
          </cell>
          <cell r="C473" t="str">
            <v>ELECTRICITY, GAS ETC.</v>
          </cell>
        </row>
        <row r="474">
          <cell r="A474">
            <v>8142</v>
          </cell>
          <cell r="B474">
            <v>660</v>
          </cell>
          <cell r="C474" t="str">
            <v>ELECTRICITY, GAS ETC.</v>
          </cell>
        </row>
        <row r="475">
          <cell r="A475" t="str">
            <v>8142A</v>
          </cell>
          <cell r="B475">
            <v>100</v>
          </cell>
          <cell r="C475" t="str">
            <v>ELECTRICITY, GAS ETC.</v>
          </cell>
        </row>
        <row r="476">
          <cell r="A476">
            <v>8143</v>
          </cell>
          <cell r="B476">
            <v>100</v>
          </cell>
          <cell r="C476" t="str">
            <v>OUTSIDE STORAGE</v>
          </cell>
        </row>
        <row r="477">
          <cell r="A477">
            <v>8143</v>
          </cell>
          <cell r="B477">
            <v>150</v>
          </cell>
          <cell r="C477" t="str">
            <v>OUTSIDE STORAGE</v>
          </cell>
        </row>
        <row r="478">
          <cell r="A478">
            <v>8143</v>
          </cell>
          <cell r="B478">
            <v>300</v>
          </cell>
          <cell r="C478" t="str">
            <v>OUTSIDE STORAGE</v>
          </cell>
        </row>
        <row r="479">
          <cell r="A479">
            <v>8143</v>
          </cell>
          <cell r="B479">
            <v>600</v>
          </cell>
          <cell r="C479" t="str">
            <v>OUTSIDE STORAGE</v>
          </cell>
        </row>
        <row r="480">
          <cell r="A480">
            <v>8144</v>
          </cell>
          <cell r="B480">
            <v>100</v>
          </cell>
          <cell r="C480" t="str">
            <v>SECURITY SERVICES</v>
          </cell>
        </row>
        <row r="481">
          <cell r="A481">
            <v>8145</v>
          </cell>
          <cell r="B481">
            <v>100</v>
          </cell>
          <cell r="C481" t="str">
            <v>CUSTODIAL SERVICES</v>
          </cell>
        </row>
        <row r="482">
          <cell r="A482">
            <v>8145</v>
          </cell>
          <cell r="B482">
            <v>150</v>
          </cell>
          <cell r="C482" t="str">
            <v>CUSTODIAL SERVICES</v>
          </cell>
        </row>
        <row r="483">
          <cell r="A483">
            <v>8145</v>
          </cell>
          <cell r="B483">
            <v>650</v>
          </cell>
          <cell r="C483" t="str">
            <v>CUSTODIAL SERVICES</v>
          </cell>
        </row>
        <row r="484">
          <cell r="A484">
            <v>8145</v>
          </cell>
          <cell r="B484">
            <v>660</v>
          </cell>
          <cell r="C484" t="str">
            <v>CUSTODIAL SERVICES</v>
          </cell>
        </row>
        <row r="485">
          <cell r="A485">
            <v>8160</v>
          </cell>
          <cell r="B485">
            <v>100</v>
          </cell>
          <cell r="C485" t="str">
            <v>REPAIRS AND MAINTENANCE</v>
          </cell>
        </row>
        <row r="486">
          <cell r="A486">
            <v>8160</v>
          </cell>
          <cell r="B486">
            <v>150</v>
          </cell>
          <cell r="C486" t="str">
            <v>REPAIRS AND MAINTENANCE</v>
          </cell>
        </row>
        <row r="487">
          <cell r="A487">
            <v>8160</v>
          </cell>
          <cell r="B487">
            <v>200</v>
          </cell>
          <cell r="C487" t="str">
            <v>REPAIRS AND MAINTENANCE</v>
          </cell>
        </row>
        <row r="488">
          <cell r="A488" t="str">
            <v>_x000C_</v>
          </cell>
        </row>
        <row r="489">
          <cell r="A489" t="str">
            <v>Beverage</v>
          </cell>
          <cell r="B489" t="str">
            <v>Servi</v>
          </cell>
          <cell r="C489" t="str">
            <v>ces Tunisia                  List</v>
          </cell>
        </row>
        <row r="491">
          <cell r="B491" t="str">
            <v>Cost</v>
          </cell>
        </row>
        <row r="492">
          <cell r="A492" t="str">
            <v>Account</v>
          </cell>
          <cell r="B492" t="str">
            <v>Centr</v>
          </cell>
          <cell r="C492" t="str">
            <v>e</v>
          </cell>
        </row>
        <row r="493">
          <cell r="A493" t="str">
            <v>-------</v>
          </cell>
          <cell r="B493" t="str">
            <v>-----</v>
          </cell>
          <cell r="C493" t="str">
            <v>-</v>
          </cell>
        </row>
        <row r="495">
          <cell r="A495">
            <v>8160</v>
          </cell>
          <cell r="B495">
            <v>300</v>
          </cell>
          <cell r="C495" t="str">
            <v>REPAIRS AND MAINTENANCE</v>
          </cell>
        </row>
        <row r="496">
          <cell r="A496">
            <v>8160</v>
          </cell>
          <cell r="B496">
            <v>600</v>
          </cell>
          <cell r="C496" t="str">
            <v>REPAIRS AND MAINTENANCE</v>
          </cell>
        </row>
        <row r="497">
          <cell r="A497">
            <v>8160</v>
          </cell>
          <cell r="B497">
            <v>650</v>
          </cell>
          <cell r="C497" t="str">
            <v>REPAIRS AND MAINTENANCE</v>
          </cell>
        </row>
        <row r="498">
          <cell r="A498">
            <v>8160</v>
          </cell>
          <cell r="B498">
            <v>660</v>
          </cell>
          <cell r="C498" t="str">
            <v>REPAIRS AND MAINTENANCE</v>
          </cell>
        </row>
        <row r="499">
          <cell r="A499">
            <v>8160</v>
          </cell>
          <cell r="B499">
            <v>680</v>
          </cell>
          <cell r="C499" t="str">
            <v>REPAIRS AND MAINTENANCE</v>
          </cell>
        </row>
        <row r="500">
          <cell r="A500">
            <v>816001</v>
          </cell>
          <cell r="B500">
            <v>300</v>
          </cell>
          <cell r="C500" t="str">
            <v>REPAIRS &amp; maintenance - moto</v>
          </cell>
        </row>
        <row r="501">
          <cell r="A501">
            <v>816005</v>
          </cell>
          <cell r="B501">
            <v>100</v>
          </cell>
          <cell r="C501" t="str">
            <v>CAR - ACCDENT REPAIRS</v>
          </cell>
        </row>
        <row r="502">
          <cell r="A502">
            <v>816005</v>
          </cell>
          <cell r="B502">
            <v>200</v>
          </cell>
          <cell r="C502" t="str">
            <v>CAR - ACCDENT REPAIRS</v>
          </cell>
        </row>
        <row r="503">
          <cell r="A503">
            <v>8201</v>
          </cell>
          <cell r="B503">
            <v>100</v>
          </cell>
          <cell r="C503" t="str">
            <v>TELEPHONE</v>
          </cell>
        </row>
        <row r="504">
          <cell r="A504">
            <v>8201</v>
          </cell>
          <cell r="B504">
            <v>150</v>
          </cell>
          <cell r="C504" t="str">
            <v>TELEPHONE</v>
          </cell>
        </row>
        <row r="505">
          <cell r="A505">
            <v>8201</v>
          </cell>
          <cell r="B505">
            <v>200</v>
          </cell>
          <cell r="C505" t="str">
            <v>TELEPHONE</v>
          </cell>
        </row>
        <row r="506">
          <cell r="A506">
            <v>8201</v>
          </cell>
          <cell r="B506">
            <v>300</v>
          </cell>
          <cell r="C506" t="str">
            <v>TELEPHONE</v>
          </cell>
        </row>
        <row r="507">
          <cell r="A507">
            <v>8201</v>
          </cell>
          <cell r="B507">
            <v>600</v>
          </cell>
          <cell r="C507" t="str">
            <v>TELEPHONE</v>
          </cell>
        </row>
        <row r="508">
          <cell r="A508">
            <v>8201</v>
          </cell>
          <cell r="B508">
            <v>650</v>
          </cell>
          <cell r="C508" t="str">
            <v>TELEPHONE</v>
          </cell>
        </row>
        <row r="509">
          <cell r="A509">
            <v>8201</v>
          </cell>
          <cell r="B509">
            <v>660</v>
          </cell>
          <cell r="C509" t="str">
            <v>TELEPHONE</v>
          </cell>
        </row>
        <row r="510">
          <cell r="A510">
            <v>8201</v>
          </cell>
          <cell r="B510">
            <v>680</v>
          </cell>
          <cell r="C510" t="str">
            <v>TELEPHONE</v>
          </cell>
        </row>
        <row r="511">
          <cell r="A511" t="str">
            <v>8201A</v>
          </cell>
          <cell r="B511">
            <v>100</v>
          </cell>
          <cell r="C511" t="str">
            <v>TELEPHONE</v>
          </cell>
        </row>
        <row r="512">
          <cell r="A512">
            <v>8203</v>
          </cell>
          <cell r="B512">
            <v>100</v>
          </cell>
          <cell r="C512" t="str">
            <v>POSTAGE</v>
          </cell>
        </row>
        <row r="513">
          <cell r="A513">
            <v>8203</v>
          </cell>
          <cell r="B513">
            <v>200</v>
          </cell>
          <cell r="C513" t="str">
            <v>POSTAGE</v>
          </cell>
        </row>
        <row r="514">
          <cell r="A514">
            <v>8203</v>
          </cell>
          <cell r="B514">
            <v>300</v>
          </cell>
          <cell r="C514" t="str">
            <v>POSTAGE</v>
          </cell>
        </row>
        <row r="515">
          <cell r="A515">
            <v>8203</v>
          </cell>
          <cell r="B515">
            <v>600</v>
          </cell>
          <cell r="C515" t="str">
            <v>POSTAGE</v>
          </cell>
        </row>
        <row r="516">
          <cell r="A516">
            <v>8203</v>
          </cell>
          <cell r="B516">
            <v>650</v>
          </cell>
          <cell r="C516" t="str">
            <v>POSTAGE</v>
          </cell>
        </row>
        <row r="517">
          <cell r="A517">
            <v>8203</v>
          </cell>
          <cell r="B517">
            <v>660</v>
          </cell>
          <cell r="C517" t="str">
            <v>POSTAGE</v>
          </cell>
        </row>
        <row r="518">
          <cell r="A518">
            <v>8210</v>
          </cell>
          <cell r="B518">
            <v>100</v>
          </cell>
          <cell r="C518" t="str">
            <v>INSURANCE</v>
          </cell>
        </row>
        <row r="519">
          <cell r="A519">
            <v>8210</v>
          </cell>
          <cell r="B519">
            <v>200</v>
          </cell>
          <cell r="C519" t="str">
            <v>INSURANCE</v>
          </cell>
        </row>
        <row r="520">
          <cell r="A520">
            <v>8210</v>
          </cell>
          <cell r="B520">
            <v>300</v>
          </cell>
          <cell r="C520" t="str">
            <v>INSURANCE</v>
          </cell>
        </row>
        <row r="521">
          <cell r="A521">
            <v>8210</v>
          </cell>
          <cell r="B521">
            <v>600</v>
          </cell>
          <cell r="C521" t="str">
            <v>INSURANCE</v>
          </cell>
        </row>
        <row r="522">
          <cell r="A522">
            <v>8210</v>
          </cell>
          <cell r="B522">
            <v>650</v>
          </cell>
          <cell r="C522" t="str">
            <v>INSURANCE</v>
          </cell>
        </row>
        <row r="523">
          <cell r="A523">
            <v>8210</v>
          </cell>
          <cell r="B523">
            <v>660</v>
          </cell>
          <cell r="C523" t="str">
            <v>INSURANCE</v>
          </cell>
        </row>
        <row r="524">
          <cell r="A524">
            <v>821001</v>
          </cell>
          <cell r="B524">
            <v>100</v>
          </cell>
          <cell r="C524" t="str">
            <v>INSURANCE PROPERTY</v>
          </cell>
        </row>
        <row r="525">
          <cell r="A525">
            <v>821001</v>
          </cell>
          <cell r="B525">
            <v>150</v>
          </cell>
          <cell r="C525" t="str">
            <v>INSURANCE PROPERTY</v>
          </cell>
        </row>
        <row r="526">
          <cell r="A526">
            <v>821001</v>
          </cell>
          <cell r="B526">
            <v>200</v>
          </cell>
          <cell r="C526" t="str">
            <v>INSURANCE PROPERTY</v>
          </cell>
        </row>
        <row r="527">
          <cell r="A527">
            <v>821002</v>
          </cell>
          <cell r="B527">
            <v>100</v>
          </cell>
          <cell r="C527" t="str">
            <v>INSURANCE MOPED</v>
          </cell>
        </row>
        <row r="528">
          <cell r="A528">
            <v>821002</v>
          </cell>
          <cell r="B528">
            <v>150</v>
          </cell>
          <cell r="C528" t="str">
            <v>INSURANCE MOPED</v>
          </cell>
        </row>
        <row r="529">
          <cell r="A529">
            <v>821002</v>
          </cell>
          <cell r="B529">
            <v>300</v>
          </cell>
          <cell r="C529" t="str">
            <v>INSURANCE MOPED</v>
          </cell>
        </row>
        <row r="530">
          <cell r="A530">
            <v>821003</v>
          </cell>
          <cell r="B530">
            <v>100</v>
          </cell>
          <cell r="C530" t="str">
            <v>INSURANCE AUTO</v>
          </cell>
        </row>
        <row r="531">
          <cell r="A531">
            <v>821003</v>
          </cell>
          <cell r="B531">
            <v>150</v>
          </cell>
          <cell r="C531" t="str">
            <v>INSURANCE AUTO</v>
          </cell>
        </row>
        <row r="532">
          <cell r="A532">
            <v>821003</v>
          </cell>
          <cell r="B532">
            <v>200</v>
          </cell>
          <cell r="C532" t="str">
            <v>INSURANCE AUTO</v>
          </cell>
        </row>
        <row r="533">
          <cell r="A533">
            <v>821003</v>
          </cell>
          <cell r="B533">
            <v>300</v>
          </cell>
          <cell r="C533" t="str">
            <v>INSURANCE AUTO</v>
          </cell>
        </row>
        <row r="534">
          <cell r="A534">
            <v>821003</v>
          </cell>
          <cell r="B534">
            <v>600</v>
          </cell>
          <cell r="C534" t="str">
            <v>INSURANCE AUTO</v>
          </cell>
        </row>
        <row r="535">
          <cell r="A535">
            <v>821003</v>
          </cell>
          <cell r="B535">
            <v>660</v>
          </cell>
          <cell r="C535" t="str">
            <v>INSURANCE AUTO</v>
          </cell>
        </row>
        <row r="536">
          <cell r="A536">
            <v>821004</v>
          </cell>
          <cell r="B536">
            <v>100</v>
          </cell>
          <cell r="C536" t="str">
            <v>INSURANCE TRAVEL</v>
          </cell>
        </row>
        <row r="537">
          <cell r="A537">
            <v>821004</v>
          </cell>
          <cell r="B537">
            <v>200</v>
          </cell>
          <cell r="C537" t="str">
            <v>INSURANCE TRAVEL</v>
          </cell>
        </row>
        <row r="538">
          <cell r="A538">
            <v>821004</v>
          </cell>
          <cell r="B538">
            <v>300</v>
          </cell>
          <cell r="C538" t="str">
            <v>INSURANCE TRAVEL</v>
          </cell>
        </row>
        <row r="539">
          <cell r="A539">
            <v>821004</v>
          </cell>
          <cell r="B539">
            <v>600</v>
          </cell>
          <cell r="C539" t="str">
            <v>INSURANCE TRAVEL</v>
          </cell>
        </row>
        <row r="540">
          <cell r="A540">
            <v>8211</v>
          </cell>
          <cell r="B540">
            <v>100</v>
          </cell>
          <cell r="C540" t="str">
            <v>BANK CHARGES</v>
          </cell>
        </row>
        <row r="541">
          <cell r="A541">
            <v>8211</v>
          </cell>
          <cell r="B541">
            <v>650</v>
          </cell>
          <cell r="C541" t="str">
            <v>BANK CHARGES</v>
          </cell>
        </row>
        <row r="542">
          <cell r="A542">
            <v>8211</v>
          </cell>
          <cell r="B542">
            <v>680</v>
          </cell>
          <cell r="C542" t="str">
            <v>BANK CHARGES</v>
          </cell>
        </row>
        <row r="543">
          <cell r="A543">
            <v>8221</v>
          </cell>
          <cell r="B543">
            <v>100</v>
          </cell>
          <cell r="C543" t="str">
            <v>PETROL &amp; OIL</v>
          </cell>
        </row>
        <row r="544">
          <cell r="A544">
            <v>8221</v>
          </cell>
          <cell r="B544">
            <v>150</v>
          </cell>
          <cell r="C544" t="str">
            <v>PETROL &amp; OIL</v>
          </cell>
        </row>
        <row r="545">
          <cell r="A545">
            <v>8221</v>
          </cell>
          <cell r="B545">
            <v>200</v>
          </cell>
          <cell r="C545" t="str">
            <v>PETROL &amp; OIL</v>
          </cell>
        </row>
        <row r="546">
          <cell r="A546">
            <v>8221</v>
          </cell>
          <cell r="B546">
            <v>300</v>
          </cell>
          <cell r="C546" t="str">
            <v>PETROL &amp; OIL</v>
          </cell>
        </row>
        <row r="547">
          <cell r="A547">
            <v>8221</v>
          </cell>
          <cell r="B547">
            <v>600</v>
          </cell>
          <cell r="C547" t="str">
            <v>PETROL &amp; OIL</v>
          </cell>
        </row>
        <row r="548">
          <cell r="A548">
            <v>8221</v>
          </cell>
          <cell r="B548">
            <v>650</v>
          </cell>
          <cell r="C548" t="str">
            <v>PETROL &amp; OIL</v>
          </cell>
        </row>
        <row r="549">
          <cell r="A549" t="str">
            <v>_x000C_</v>
          </cell>
        </row>
        <row r="550">
          <cell r="A550" t="str">
            <v>Beverage</v>
          </cell>
          <cell r="B550" t="str">
            <v>Servi</v>
          </cell>
          <cell r="C550" t="str">
            <v>ces Tunisia                  List</v>
          </cell>
        </row>
        <row r="552">
          <cell r="B552" t="str">
            <v>Cost</v>
          </cell>
        </row>
        <row r="553">
          <cell r="A553" t="str">
            <v>Account</v>
          </cell>
          <cell r="B553" t="str">
            <v>Centr</v>
          </cell>
          <cell r="C553" t="str">
            <v>e</v>
          </cell>
        </row>
        <row r="554">
          <cell r="A554" t="str">
            <v>-------</v>
          </cell>
          <cell r="B554" t="str">
            <v>-----</v>
          </cell>
          <cell r="C554" t="str">
            <v>-</v>
          </cell>
        </row>
        <row r="556">
          <cell r="A556">
            <v>8221</v>
          </cell>
          <cell r="B556">
            <v>660</v>
          </cell>
          <cell r="C556" t="str">
            <v>PETROL &amp; OIL</v>
          </cell>
        </row>
        <row r="557">
          <cell r="A557">
            <v>8226</v>
          </cell>
          <cell r="B557">
            <v>100</v>
          </cell>
          <cell r="C557" t="str">
            <v>SUPPLIES USED - GENERAL</v>
          </cell>
        </row>
        <row r="558">
          <cell r="A558">
            <v>8226</v>
          </cell>
          <cell r="B558">
            <v>150</v>
          </cell>
          <cell r="C558" t="str">
            <v>SUPPLIES USED - GENERAL</v>
          </cell>
        </row>
        <row r="559">
          <cell r="A559">
            <v>8226</v>
          </cell>
          <cell r="B559">
            <v>200</v>
          </cell>
          <cell r="C559" t="str">
            <v>SUPPLIES USED - GENERAL</v>
          </cell>
        </row>
        <row r="560">
          <cell r="A560">
            <v>8226</v>
          </cell>
          <cell r="B560">
            <v>300</v>
          </cell>
          <cell r="C560" t="str">
            <v>SUPPLIES USED - GENERAL</v>
          </cell>
        </row>
        <row r="561">
          <cell r="A561">
            <v>8226</v>
          </cell>
          <cell r="B561">
            <v>600</v>
          </cell>
          <cell r="C561" t="str">
            <v>SUPPLIES USED - GENERAL</v>
          </cell>
        </row>
        <row r="562">
          <cell r="A562">
            <v>8226</v>
          </cell>
          <cell r="B562">
            <v>650</v>
          </cell>
          <cell r="C562" t="str">
            <v>SUPPLIES USED - GENERAL</v>
          </cell>
        </row>
        <row r="563">
          <cell r="A563">
            <v>8226</v>
          </cell>
          <cell r="B563">
            <v>660</v>
          </cell>
          <cell r="C563" t="str">
            <v>SUPPLIES USED - GENERAL</v>
          </cell>
        </row>
        <row r="564">
          <cell r="A564">
            <v>8226</v>
          </cell>
          <cell r="B564">
            <v>680</v>
          </cell>
          <cell r="C564" t="str">
            <v>SUPPLIES USED - GENERAL</v>
          </cell>
        </row>
        <row r="565">
          <cell r="A565">
            <v>822601</v>
          </cell>
          <cell r="B565">
            <v>100</v>
          </cell>
          <cell r="C565" t="str">
            <v>STATIONERY</v>
          </cell>
        </row>
        <row r="566">
          <cell r="A566">
            <v>822601</v>
          </cell>
          <cell r="B566">
            <v>150</v>
          </cell>
          <cell r="C566" t="str">
            <v>STATIONERY</v>
          </cell>
        </row>
        <row r="567">
          <cell r="A567">
            <v>822601</v>
          </cell>
          <cell r="B567">
            <v>200</v>
          </cell>
          <cell r="C567" t="str">
            <v>STATIONERY</v>
          </cell>
        </row>
        <row r="568">
          <cell r="A568">
            <v>822601</v>
          </cell>
          <cell r="B568">
            <v>300</v>
          </cell>
          <cell r="C568" t="str">
            <v>STATIONERY</v>
          </cell>
        </row>
        <row r="569">
          <cell r="A569">
            <v>822601</v>
          </cell>
          <cell r="B569">
            <v>600</v>
          </cell>
          <cell r="C569" t="str">
            <v>STATIONERY</v>
          </cell>
        </row>
        <row r="570">
          <cell r="A570">
            <v>822601</v>
          </cell>
          <cell r="B570">
            <v>650</v>
          </cell>
          <cell r="C570" t="str">
            <v>STATIONERY</v>
          </cell>
        </row>
        <row r="571">
          <cell r="A571">
            <v>8230</v>
          </cell>
          <cell r="B571">
            <v>100</v>
          </cell>
          <cell r="C571" t="str">
            <v>Freight Demurage</v>
          </cell>
        </row>
        <row r="572">
          <cell r="A572">
            <v>8230</v>
          </cell>
          <cell r="B572">
            <v>150</v>
          </cell>
          <cell r="C572" t="str">
            <v>Freight Demurage</v>
          </cell>
        </row>
        <row r="573">
          <cell r="A573">
            <v>8230</v>
          </cell>
          <cell r="B573">
            <v>200</v>
          </cell>
          <cell r="C573" t="str">
            <v>Freight Demurage</v>
          </cell>
        </row>
        <row r="574">
          <cell r="A574">
            <v>8230</v>
          </cell>
          <cell r="B574">
            <v>660</v>
          </cell>
          <cell r="C574" t="str">
            <v>Freight Demurage</v>
          </cell>
        </row>
        <row r="575">
          <cell r="A575">
            <v>8240</v>
          </cell>
          <cell r="B575">
            <v>600</v>
          </cell>
          <cell r="C575" t="str">
            <v>COMPUTER EQUIPMENT RENTAL</v>
          </cell>
        </row>
        <row r="576">
          <cell r="A576">
            <v>8245</v>
          </cell>
          <cell r="B576">
            <v>100</v>
          </cell>
          <cell r="C576" t="str">
            <v>Equipment Rental Expenses - Other</v>
          </cell>
        </row>
        <row r="577">
          <cell r="A577">
            <v>8250</v>
          </cell>
          <cell r="B577">
            <v>200</v>
          </cell>
          <cell r="C577" t="str">
            <v>RATES,LICENCES ETC</v>
          </cell>
        </row>
        <row r="578">
          <cell r="A578">
            <v>8250</v>
          </cell>
          <cell r="B578">
            <v>600</v>
          </cell>
          <cell r="C578" t="str">
            <v>RATES,LICENCES ETC</v>
          </cell>
        </row>
        <row r="579">
          <cell r="A579">
            <v>825001</v>
          </cell>
          <cell r="B579">
            <v>100</v>
          </cell>
          <cell r="C579" t="str">
            <v>CAR ROAD TAX</v>
          </cell>
        </row>
        <row r="580">
          <cell r="A580">
            <v>825001</v>
          </cell>
          <cell r="B580">
            <v>150</v>
          </cell>
          <cell r="C580" t="str">
            <v>CAR ROAD TAX</v>
          </cell>
        </row>
        <row r="581">
          <cell r="A581">
            <v>825001</v>
          </cell>
          <cell r="B581">
            <v>200</v>
          </cell>
          <cell r="C581" t="str">
            <v>CAR ROAD TAX</v>
          </cell>
        </row>
        <row r="582">
          <cell r="A582">
            <v>825001</v>
          </cell>
          <cell r="B582">
            <v>300</v>
          </cell>
          <cell r="C582" t="str">
            <v>CAR ROAD TAX</v>
          </cell>
        </row>
        <row r="583">
          <cell r="A583">
            <v>825001</v>
          </cell>
          <cell r="B583">
            <v>600</v>
          </cell>
          <cell r="C583" t="str">
            <v>CAR ROAD TAX</v>
          </cell>
        </row>
        <row r="584">
          <cell r="A584">
            <v>825001</v>
          </cell>
          <cell r="B584">
            <v>650</v>
          </cell>
          <cell r="C584" t="str">
            <v>CAR ROAD TAX</v>
          </cell>
        </row>
        <row r="585">
          <cell r="A585">
            <v>825001</v>
          </cell>
          <cell r="B585">
            <v>660</v>
          </cell>
          <cell r="C585" t="str">
            <v>CAR ROAD TAX</v>
          </cell>
        </row>
        <row r="586">
          <cell r="A586">
            <v>825002</v>
          </cell>
          <cell r="B586">
            <v>100</v>
          </cell>
          <cell r="C586" t="str">
            <v>TRAVEL STAMP</v>
          </cell>
        </row>
        <row r="587">
          <cell r="A587">
            <v>825002</v>
          </cell>
          <cell r="B587">
            <v>150</v>
          </cell>
          <cell r="C587" t="str">
            <v>TRAVEL STAMP</v>
          </cell>
        </row>
        <row r="588">
          <cell r="A588">
            <v>825002</v>
          </cell>
          <cell r="B588">
            <v>200</v>
          </cell>
          <cell r="C588" t="str">
            <v>TRAVEL STAMP</v>
          </cell>
        </row>
        <row r="589">
          <cell r="A589">
            <v>825002</v>
          </cell>
          <cell r="B589">
            <v>300</v>
          </cell>
          <cell r="C589" t="str">
            <v>TRAVEL STAMP</v>
          </cell>
        </row>
        <row r="590">
          <cell r="A590">
            <v>825002</v>
          </cell>
          <cell r="B590">
            <v>600</v>
          </cell>
          <cell r="C590" t="str">
            <v>TRAVEL STAMP</v>
          </cell>
        </row>
        <row r="591">
          <cell r="A591">
            <v>825002</v>
          </cell>
          <cell r="B591">
            <v>660</v>
          </cell>
          <cell r="C591" t="str">
            <v>TRAVEL STAMP</v>
          </cell>
        </row>
        <row r="592">
          <cell r="A592">
            <v>825003</v>
          </cell>
          <cell r="B592">
            <v>100</v>
          </cell>
          <cell r="C592" t="str">
            <v>CAR REGISTRATION DUTIES</v>
          </cell>
        </row>
        <row r="593">
          <cell r="A593">
            <v>825003</v>
          </cell>
          <cell r="B593">
            <v>150</v>
          </cell>
          <cell r="C593" t="str">
            <v>CAR REGISTRATION DUTIES</v>
          </cell>
        </row>
        <row r="594">
          <cell r="A594">
            <v>825003</v>
          </cell>
          <cell r="B594">
            <v>200</v>
          </cell>
          <cell r="C594" t="str">
            <v>CAR REGISTRATION DUTIES</v>
          </cell>
        </row>
        <row r="595">
          <cell r="A595">
            <v>825003</v>
          </cell>
          <cell r="B595">
            <v>300</v>
          </cell>
          <cell r="C595" t="str">
            <v>CAR REGISTRATION DUTIES</v>
          </cell>
        </row>
        <row r="596">
          <cell r="A596">
            <v>825003</v>
          </cell>
          <cell r="B596">
            <v>600</v>
          </cell>
          <cell r="C596" t="str">
            <v>CAR REGISTRATION DUTIES</v>
          </cell>
        </row>
        <row r="597">
          <cell r="A597">
            <v>825003</v>
          </cell>
          <cell r="B597">
            <v>660</v>
          </cell>
          <cell r="C597" t="str">
            <v>CAR REGISTRATION DUTIES</v>
          </cell>
        </row>
        <row r="598">
          <cell r="A598">
            <v>8260</v>
          </cell>
          <cell r="B598">
            <v>100</v>
          </cell>
          <cell r="C598" t="str">
            <v>MISCELLANEOUS</v>
          </cell>
        </row>
        <row r="599">
          <cell r="A599">
            <v>8260</v>
          </cell>
          <cell r="B599">
            <v>200</v>
          </cell>
          <cell r="C599" t="str">
            <v>MISCELLANEOUS</v>
          </cell>
        </row>
        <row r="600">
          <cell r="A600">
            <v>8260</v>
          </cell>
          <cell r="B600">
            <v>300</v>
          </cell>
          <cell r="C600" t="str">
            <v>MISCELLANEOUS</v>
          </cell>
        </row>
        <row r="601">
          <cell r="A601">
            <v>8260</v>
          </cell>
          <cell r="B601">
            <v>650</v>
          </cell>
          <cell r="C601" t="str">
            <v>MISCELLANEOUS</v>
          </cell>
        </row>
        <row r="602">
          <cell r="A602">
            <v>8404</v>
          </cell>
          <cell r="B602">
            <v>650</v>
          </cell>
          <cell r="C602" t="str">
            <v>ALGERIA SERVICE CHARGE</v>
          </cell>
        </row>
        <row r="603">
          <cell r="A603">
            <v>8411</v>
          </cell>
          <cell r="B603">
            <v>100</v>
          </cell>
          <cell r="C603" t="str">
            <v>TRANSFER DEPARTEMENTAL EXPENSE</v>
          </cell>
        </row>
        <row r="604">
          <cell r="A604">
            <v>8411</v>
          </cell>
          <cell r="B604">
            <v>200</v>
          </cell>
          <cell r="C604" t="str">
            <v>TRANSFER DEPARTEMENTAL EXPENSE</v>
          </cell>
        </row>
        <row r="605">
          <cell r="A605">
            <v>8411</v>
          </cell>
          <cell r="B605">
            <v>300</v>
          </cell>
          <cell r="C605" t="str">
            <v>TRANSFER DEPARTEMENTAL EXPENSE</v>
          </cell>
        </row>
        <row r="606">
          <cell r="A606">
            <v>8411</v>
          </cell>
          <cell r="B606">
            <v>650</v>
          </cell>
          <cell r="C606" t="str">
            <v>TRANSFER DEPARTEMENTAL EXPENSE</v>
          </cell>
        </row>
        <row r="607">
          <cell r="A607">
            <v>8485</v>
          </cell>
          <cell r="B607">
            <v>100</v>
          </cell>
          <cell r="C607" t="str">
            <v>DEPRECIATION</v>
          </cell>
        </row>
        <row r="608">
          <cell r="A608">
            <v>8485</v>
          </cell>
          <cell r="B608">
            <v>150</v>
          </cell>
          <cell r="C608" t="str">
            <v>DEPRECIATION</v>
          </cell>
        </row>
        <row r="609">
          <cell r="A609">
            <v>8485</v>
          </cell>
          <cell r="B609">
            <v>200</v>
          </cell>
          <cell r="C609" t="str">
            <v>DEPRECIATION</v>
          </cell>
        </row>
        <row r="610">
          <cell r="A610" t="str">
            <v>_x000C_</v>
          </cell>
        </row>
        <row r="611">
          <cell r="A611" t="str">
            <v>Beverage</v>
          </cell>
          <cell r="B611" t="str">
            <v>Servi</v>
          </cell>
          <cell r="C611" t="str">
            <v>ces Tunisia                  List</v>
          </cell>
        </row>
        <row r="613">
          <cell r="B613" t="str">
            <v>Cost</v>
          </cell>
        </row>
        <row r="614">
          <cell r="A614" t="str">
            <v>Account</v>
          </cell>
          <cell r="B614" t="str">
            <v>Centr</v>
          </cell>
          <cell r="C614" t="str">
            <v>e</v>
          </cell>
        </row>
        <row r="615">
          <cell r="A615" t="str">
            <v>-------</v>
          </cell>
          <cell r="B615" t="str">
            <v>-----</v>
          </cell>
          <cell r="C615" t="str">
            <v>-</v>
          </cell>
        </row>
        <row r="617">
          <cell r="A617">
            <v>8485</v>
          </cell>
          <cell r="B617">
            <v>300</v>
          </cell>
          <cell r="C617" t="str">
            <v>DEPRECIATION</v>
          </cell>
        </row>
        <row r="618">
          <cell r="A618">
            <v>8485</v>
          </cell>
          <cell r="B618">
            <v>600</v>
          </cell>
          <cell r="C618" t="str">
            <v>DEPRECIATION</v>
          </cell>
        </row>
        <row r="619">
          <cell r="A619">
            <v>8485</v>
          </cell>
          <cell r="B619">
            <v>650</v>
          </cell>
          <cell r="C619" t="str">
            <v>DEPRECIATION</v>
          </cell>
        </row>
        <row r="620">
          <cell r="A620">
            <v>8485</v>
          </cell>
          <cell r="B620">
            <v>660</v>
          </cell>
          <cell r="C620" t="str">
            <v>DEPRECIATION</v>
          </cell>
        </row>
        <row r="621">
          <cell r="A621">
            <v>8485</v>
          </cell>
          <cell r="B621">
            <v>680</v>
          </cell>
          <cell r="C621" t="str">
            <v>DEPRECIATION</v>
          </cell>
        </row>
        <row r="622">
          <cell r="A622" t="str">
            <v>8485A</v>
          </cell>
          <cell r="B622">
            <v>100</v>
          </cell>
          <cell r="C622" t="str">
            <v>DEPRECIATION</v>
          </cell>
        </row>
        <row r="623">
          <cell r="A623">
            <v>8501</v>
          </cell>
          <cell r="B623">
            <v>680</v>
          </cell>
          <cell r="C623" t="str">
            <v>TV - MEDIA</v>
          </cell>
        </row>
        <row r="624">
          <cell r="A624">
            <v>8613</v>
          </cell>
          <cell r="B624">
            <v>600</v>
          </cell>
          <cell r="C624" t="str">
            <v>AGENCY FEES</v>
          </cell>
        </row>
        <row r="625">
          <cell r="A625">
            <v>8613</v>
          </cell>
          <cell r="B625">
            <v>660</v>
          </cell>
          <cell r="C625" t="str">
            <v>AGENCY FEES</v>
          </cell>
        </row>
        <row r="626">
          <cell r="A626">
            <v>8613</v>
          </cell>
          <cell r="B626">
            <v>680</v>
          </cell>
          <cell r="C626" t="str">
            <v>AGENCY FEES</v>
          </cell>
        </row>
        <row r="627">
          <cell r="A627">
            <v>9901</v>
          </cell>
          <cell r="C627" t="str">
            <v>DEBTORS SUSPENSE</v>
          </cell>
        </row>
        <row r="628">
          <cell r="A628">
            <v>9902</v>
          </cell>
          <cell r="C628" t="str">
            <v>CREDITORS SUSPENSE</v>
          </cell>
        </row>
        <row r="629">
          <cell r="A629">
            <v>9909</v>
          </cell>
          <cell r="C629" t="str">
            <v>BALANCES SUSPENSE</v>
          </cell>
        </row>
      </sheetData>
      <sheetData sheetId="2">
        <row r="2">
          <cell r="B2" t="str">
            <v>month</v>
          </cell>
        </row>
      </sheetData>
      <sheetData sheetId="3">
        <row r="12">
          <cell r="A12">
            <v>1114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ALANCE AU 30.06.01"/>
      <sheetName val="BAL 31.12.00"/>
    </sheetNames>
    <sheetDataSet>
      <sheetData sheetId="0">
        <row r="1">
          <cell r="E1" t="str">
            <v>SOLDE</v>
          </cell>
        </row>
        <row r="2">
          <cell r="E2">
            <v>-4200000</v>
          </cell>
          <cell r="F2" t="str">
            <v>Capital social</v>
          </cell>
        </row>
        <row r="3">
          <cell r="E3">
            <v>-162000</v>
          </cell>
          <cell r="F3" t="str">
            <v>Réserve</v>
          </cell>
        </row>
        <row r="4">
          <cell r="E4">
            <v>0</v>
          </cell>
          <cell r="F4" t="str">
            <v>Réserve</v>
          </cell>
        </row>
        <row r="5">
          <cell r="E5">
            <v>-16827</v>
          </cell>
          <cell r="F5" t="str">
            <v>Résultats reportés</v>
          </cell>
        </row>
        <row r="6">
          <cell r="E6">
            <v>0</v>
          </cell>
        </row>
        <row r="7">
          <cell r="E7">
            <v>0</v>
          </cell>
        </row>
        <row r="8">
          <cell r="E8">
            <v>0</v>
          </cell>
        </row>
        <row r="9">
          <cell r="E9">
            <v>0</v>
          </cell>
        </row>
        <row r="10">
          <cell r="E10">
            <v>-15000</v>
          </cell>
          <cell r="F10" t="str">
            <v>Provisions</v>
          </cell>
        </row>
        <row r="11">
          <cell r="E11">
            <v>-640204.853</v>
          </cell>
          <cell r="F11" t="str">
            <v>Emprunts</v>
          </cell>
        </row>
        <row r="12">
          <cell r="E12">
            <v>13174.734</v>
          </cell>
          <cell r="F12" t="str">
            <v>Immobilisations incorporelles</v>
          </cell>
        </row>
        <row r="13">
          <cell r="E13">
            <v>976800</v>
          </cell>
          <cell r="F13" t="str">
            <v>Immobilisations incorporelles</v>
          </cell>
        </row>
        <row r="14">
          <cell r="E14">
            <v>440915</v>
          </cell>
          <cell r="F14" t="str">
            <v>Immobilisations corporelles</v>
          </cell>
        </row>
        <row r="15">
          <cell r="E15">
            <v>614869</v>
          </cell>
          <cell r="F15" t="str">
            <v>Immobilisations corporelles</v>
          </cell>
        </row>
        <row r="16">
          <cell r="E16">
            <v>252200</v>
          </cell>
          <cell r="F16" t="str">
            <v>Immobilisations corporelles</v>
          </cell>
        </row>
        <row r="17">
          <cell r="E17">
            <v>300119</v>
          </cell>
          <cell r="F17" t="str">
            <v>Immobilisations corporelles</v>
          </cell>
        </row>
        <row r="18">
          <cell r="E18">
            <v>1120038.32</v>
          </cell>
          <cell r="F18" t="str">
            <v>Immobilisations corporelles</v>
          </cell>
        </row>
        <row r="19">
          <cell r="E19">
            <v>148355</v>
          </cell>
          <cell r="F19" t="str">
            <v>Immobilisations corporelles</v>
          </cell>
        </row>
        <row r="20">
          <cell r="E20">
            <v>197478</v>
          </cell>
          <cell r="F20" t="str">
            <v>Immobilisations corporelles</v>
          </cell>
        </row>
        <row r="21">
          <cell r="E21">
            <v>400000</v>
          </cell>
          <cell r="F21" t="str">
            <v>Immobilisations financières</v>
          </cell>
        </row>
        <row r="22">
          <cell r="E22">
            <v>2199670</v>
          </cell>
          <cell r="F22" t="str">
            <v>Immobilisations financières</v>
          </cell>
        </row>
        <row r="23">
          <cell r="E23">
            <v>23000</v>
          </cell>
          <cell r="F23" t="str">
            <v>Immobilisations financières</v>
          </cell>
        </row>
        <row r="24">
          <cell r="E24">
            <v>61964</v>
          </cell>
          <cell r="F24" t="str">
            <v>Immobilisations financières</v>
          </cell>
        </row>
        <row r="25">
          <cell r="E25">
            <v>64323</v>
          </cell>
          <cell r="F25" t="str">
            <v>Immobilisations financières</v>
          </cell>
        </row>
        <row r="26">
          <cell r="E26">
            <v>928394</v>
          </cell>
          <cell r="F26" t="str">
            <v>Immobilisations financières</v>
          </cell>
        </row>
        <row r="27">
          <cell r="E27">
            <v>199670</v>
          </cell>
          <cell r="F27" t="str">
            <v>Immobilisations financières</v>
          </cell>
        </row>
        <row r="28">
          <cell r="E28">
            <v>-1350000</v>
          </cell>
          <cell r="F28" t="str">
            <v>Immobilisations financières</v>
          </cell>
        </row>
        <row r="29">
          <cell r="E29">
            <v>837</v>
          </cell>
          <cell r="F29" t="str">
            <v>Immobilisations financières</v>
          </cell>
        </row>
        <row r="30">
          <cell r="E30">
            <v>20985</v>
          </cell>
          <cell r="F30" t="str">
            <v>Immobilisations financières</v>
          </cell>
        </row>
        <row r="31">
          <cell r="E31">
            <v>-983884</v>
          </cell>
          <cell r="F31" t="str">
            <v>Moins : amortissements des immo. incorporelles</v>
          </cell>
        </row>
        <row r="32">
          <cell r="E32">
            <v>-99916</v>
          </cell>
          <cell r="F32" t="str">
            <v>Moins : amortissements des immo. corporelles</v>
          </cell>
        </row>
        <row r="33">
          <cell r="E33">
            <v>-76922</v>
          </cell>
          <cell r="F33" t="str">
            <v>Moins : amortissements des immo. corporelles</v>
          </cell>
        </row>
        <row r="34">
          <cell r="E34">
            <v>-69752.5</v>
          </cell>
          <cell r="F34" t="str">
            <v>Moins : amortissements des immo. corporelles</v>
          </cell>
        </row>
        <row r="35">
          <cell r="E35">
            <v>-84057</v>
          </cell>
          <cell r="F35" t="str">
            <v>Moins : amortissements des immo. corporelles</v>
          </cell>
        </row>
        <row r="36">
          <cell r="E36">
            <v>-93121.97</v>
          </cell>
          <cell r="F36" t="str">
            <v>Moins : amortissements des immo. corporelles</v>
          </cell>
        </row>
        <row r="37">
          <cell r="E37">
            <v>-569519</v>
          </cell>
          <cell r="F37" t="str">
            <v>Moins : amortissements des immo. corporelles</v>
          </cell>
        </row>
        <row r="38">
          <cell r="E38">
            <v>183361</v>
          </cell>
          <cell r="F38" t="str">
            <v>Stocks</v>
          </cell>
        </row>
        <row r="39">
          <cell r="E39">
            <v>279342</v>
          </cell>
          <cell r="F39" t="str">
            <v>Stocks</v>
          </cell>
        </row>
        <row r="40">
          <cell r="E40">
            <v>203014</v>
          </cell>
          <cell r="F40" t="str">
            <v>Stocks</v>
          </cell>
        </row>
        <row r="41">
          <cell r="E41">
            <v>72884</v>
          </cell>
          <cell r="F41" t="str">
            <v>Stocks</v>
          </cell>
        </row>
        <row r="42">
          <cell r="E42">
            <v>-79527</v>
          </cell>
          <cell r="F42" t="str">
            <v>Moins : provisions sur stocks</v>
          </cell>
        </row>
        <row r="43">
          <cell r="E43">
            <v>-546266</v>
          </cell>
          <cell r="F43" t="str">
            <v>Fournisseurs et comptes rattachés</v>
          </cell>
        </row>
        <row r="44">
          <cell r="E44">
            <v>-38308</v>
          </cell>
          <cell r="F44" t="str">
            <v>Fournisseurs et comptes rattachés</v>
          </cell>
        </row>
        <row r="45">
          <cell r="E45">
            <v>-74114</v>
          </cell>
          <cell r="F45" t="str">
            <v>Fournisseurs et comptes rattachés</v>
          </cell>
        </row>
        <row r="46">
          <cell r="E46">
            <v>0</v>
          </cell>
          <cell r="F46" t="str">
            <v>Fournisseurs et comptes rattachés</v>
          </cell>
        </row>
        <row r="47">
          <cell r="E47">
            <v>1014175.417</v>
          </cell>
          <cell r="F47" t="str">
            <v>Clients et comptes rattachés</v>
          </cell>
        </row>
        <row r="48">
          <cell r="E48">
            <v>82057</v>
          </cell>
          <cell r="F48" t="str">
            <v>Clients et comptes rattachés</v>
          </cell>
        </row>
        <row r="49">
          <cell r="E49">
            <v>61954.2</v>
          </cell>
          <cell r="F49" t="str">
            <v>Clients et comptes rattachés</v>
          </cell>
        </row>
        <row r="50">
          <cell r="E50">
            <v>291516</v>
          </cell>
          <cell r="F50" t="str">
            <v>Clients et comptes rattachés</v>
          </cell>
        </row>
        <row r="51">
          <cell r="E51">
            <v>0</v>
          </cell>
          <cell r="F51" t="str">
            <v>Clients et comptes rattachés</v>
          </cell>
        </row>
        <row r="52">
          <cell r="E52">
            <v>-13100</v>
          </cell>
          <cell r="F52" t="str">
            <v>Autres passifs courants</v>
          </cell>
        </row>
        <row r="53">
          <cell r="E53">
            <v>1671</v>
          </cell>
          <cell r="F53" t="str">
            <v>Autres actifs courants</v>
          </cell>
        </row>
        <row r="54">
          <cell r="E54">
            <v>40900</v>
          </cell>
          <cell r="F54" t="str">
            <v>Autres actifs courants</v>
          </cell>
        </row>
        <row r="55">
          <cell r="E55">
            <v>-8037.549</v>
          </cell>
          <cell r="F55" t="str">
            <v>Autres passifs courants</v>
          </cell>
        </row>
        <row r="57">
          <cell r="E57">
            <v>-50604</v>
          </cell>
          <cell r="F57" t="str">
            <v>Autres passifs courants</v>
          </cell>
        </row>
        <row r="58">
          <cell r="E58">
            <v>-4773.125</v>
          </cell>
          <cell r="F58" t="str">
            <v>Autres passifs courants</v>
          </cell>
        </row>
        <row r="59">
          <cell r="E59">
            <v>-2386.56</v>
          </cell>
          <cell r="F59" t="str">
            <v>Autres passifs courants</v>
          </cell>
        </row>
        <row r="60">
          <cell r="E60">
            <v>-655</v>
          </cell>
          <cell r="F60" t="str">
            <v>Autres passifs courants</v>
          </cell>
        </row>
        <row r="61">
          <cell r="E61">
            <v>-220.297</v>
          </cell>
          <cell r="F61" t="str">
            <v>Autres passifs courants</v>
          </cell>
        </row>
        <row r="62">
          <cell r="E62">
            <v>3223.05</v>
          </cell>
          <cell r="F62" t="str">
            <v>Autres actifs courants</v>
          </cell>
        </row>
        <row r="63">
          <cell r="E63">
            <v>58460</v>
          </cell>
          <cell r="F63" t="str">
            <v>Autres actifs courants</v>
          </cell>
        </row>
        <row r="64">
          <cell r="E64">
            <v>0</v>
          </cell>
          <cell r="F64" t="str">
            <v>Autres passifs courants</v>
          </cell>
        </row>
        <row r="65">
          <cell r="E65">
            <v>0</v>
          </cell>
          <cell r="F65" t="str">
            <v>Autres passifs courants</v>
          </cell>
        </row>
        <row r="66">
          <cell r="E66">
            <v>29.808</v>
          </cell>
          <cell r="F66" t="str">
            <v>Autres actifs courants</v>
          </cell>
        </row>
        <row r="67">
          <cell r="E67">
            <v>9077.384</v>
          </cell>
          <cell r="F67" t="str">
            <v>Autres actifs courants</v>
          </cell>
        </row>
        <row r="68">
          <cell r="E68">
            <v>20797</v>
          </cell>
          <cell r="F68" t="str">
            <v>Autres actifs courants</v>
          </cell>
        </row>
        <row r="69">
          <cell r="E69">
            <v>-19836</v>
          </cell>
          <cell r="F69" t="str">
            <v>Autres passifs courants</v>
          </cell>
        </row>
        <row r="70">
          <cell r="E70">
            <v>492.5</v>
          </cell>
          <cell r="F70" t="str">
            <v>Autres actifs courants</v>
          </cell>
        </row>
        <row r="71">
          <cell r="E71">
            <v>-56.8</v>
          </cell>
          <cell r="F71" t="str">
            <v>Autres passifs courants</v>
          </cell>
        </row>
        <row r="72">
          <cell r="E72">
            <v>-108600.652</v>
          </cell>
          <cell r="F72" t="str">
            <v>Autres passifs courants</v>
          </cell>
        </row>
        <row r="73">
          <cell r="E73">
            <v>606932</v>
          </cell>
          <cell r="F73" t="str">
            <v>Autres actifs courants</v>
          </cell>
        </row>
        <row r="74">
          <cell r="E74">
            <v>-74895</v>
          </cell>
          <cell r="F74" t="str">
            <v>Autres passifs courants</v>
          </cell>
        </row>
        <row r="75">
          <cell r="E75">
            <v>92</v>
          </cell>
          <cell r="F75" t="str">
            <v>Autres actifs courants</v>
          </cell>
        </row>
        <row r="76">
          <cell r="E76">
            <v>-96668</v>
          </cell>
          <cell r="F76" t="str">
            <v>Autres passifs courants</v>
          </cell>
        </row>
        <row r="77">
          <cell r="E77">
            <v>63121</v>
          </cell>
          <cell r="F77" t="str">
            <v>Autres actifs courants</v>
          </cell>
        </row>
        <row r="78">
          <cell r="E78">
            <v>0</v>
          </cell>
        </row>
        <row r="79">
          <cell r="E79">
            <v>-186200</v>
          </cell>
          <cell r="F79" t="str">
            <v>Autres passifs courants</v>
          </cell>
        </row>
        <row r="80">
          <cell r="E80">
            <v>370</v>
          </cell>
          <cell r="F80" t="str">
            <v>Autres actifs courants</v>
          </cell>
        </row>
        <row r="81">
          <cell r="E81">
            <v>-75277</v>
          </cell>
          <cell r="F81" t="str">
            <v>Autres passifs courants</v>
          </cell>
        </row>
        <row r="82">
          <cell r="E82">
            <v>-187.654</v>
          </cell>
          <cell r="F82" t="str">
            <v>Autres passifs courants</v>
          </cell>
        </row>
        <row r="83">
          <cell r="E83">
            <v>-1397</v>
          </cell>
          <cell r="F83" t="str">
            <v>Autres passifs courants</v>
          </cell>
        </row>
        <row r="84">
          <cell r="E84">
            <v>-67</v>
          </cell>
          <cell r="F84" t="str">
            <v>Autres passifs courants</v>
          </cell>
        </row>
        <row r="85">
          <cell r="E85">
            <v>4266</v>
          </cell>
          <cell r="F85" t="str">
            <v>Autres actifs courants</v>
          </cell>
        </row>
        <row r="86">
          <cell r="E86">
            <v>970</v>
          </cell>
          <cell r="F86" t="str">
            <v>Autres actifs courants</v>
          </cell>
        </row>
        <row r="87">
          <cell r="E87">
            <v>-402</v>
          </cell>
          <cell r="F87" t="str">
            <v>Autres passifs courants</v>
          </cell>
        </row>
        <row r="88">
          <cell r="E88">
            <v>-423021</v>
          </cell>
          <cell r="F88" t="str">
            <v>Autres passifs courants</v>
          </cell>
        </row>
        <row r="89">
          <cell r="E89">
            <v>1025</v>
          </cell>
          <cell r="F89" t="str">
            <v>Autres actifs courants</v>
          </cell>
        </row>
        <row r="90">
          <cell r="E90">
            <v>1810.02</v>
          </cell>
          <cell r="F90" t="str">
            <v>Autres actifs courants</v>
          </cell>
        </row>
        <row r="91">
          <cell r="E91">
            <v>11878.831</v>
          </cell>
          <cell r="F91" t="str">
            <v>Autres actifs courants</v>
          </cell>
        </row>
        <row r="92">
          <cell r="E92">
            <v>-3307.5</v>
          </cell>
          <cell r="F92" t="str">
            <v>Autres passifs courants</v>
          </cell>
        </row>
        <row r="93">
          <cell r="E93">
            <v>-76587</v>
          </cell>
          <cell r="F93" t="str">
            <v>Moins : provisions sur créances</v>
          </cell>
        </row>
        <row r="94">
          <cell r="E94">
            <v>2759955</v>
          </cell>
          <cell r="F94" t="str">
            <v>Autres actifs courants</v>
          </cell>
        </row>
        <row r="95">
          <cell r="E95">
            <v>-161223</v>
          </cell>
          <cell r="F95" t="str">
            <v>Concours bancaires et autres passifs financiers</v>
          </cell>
        </row>
        <row r="96">
          <cell r="E96">
            <v>0</v>
          </cell>
          <cell r="F96" t="str">
            <v>Concours bancaires et autres passifs financiers</v>
          </cell>
        </row>
        <row r="97">
          <cell r="E97">
            <v>629612</v>
          </cell>
          <cell r="F97" t="str">
            <v>Placements at autres actifs financiers</v>
          </cell>
        </row>
        <row r="98">
          <cell r="E98">
            <v>0</v>
          </cell>
          <cell r="F98" t="str">
            <v>Concours bancaires et autres passifs financiers</v>
          </cell>
        </row>
        <row r="99">
          <cell r="E99">
            <v>-798825</v>
          </cell>
          <cell r="F99" t="str">
            <v>Concours bancaires et autres passifs financiers</v>
          </cell>
        </row>
        <row r="100">
          <cell r="E100">
            <v>432.733</v>
          </cell>
          <cell r="F100" t="str">
            <v>Liquidités et équivalents de liquidités</v>
          </cell>
        </row>
        <row r="101">
          <cell r="E101">
            <v>-68695.06</v>
          </cell>
          <cell r="F101" t="str">
            <v>Concours bancaires et autres passifs financiers</v>
          </cell>
        </row>
        <row r="102">
          <cell r="E102">
            <v>7944.616</v>
          </cell>
          <cell r="F102" t="str">
            <v>Liquidités et équivalents de liquidités</v>
          </cell>
        </row>
        <row r="103">
          <cell r="E103">
            <v>-1007467.768</v>
          </cell>
          <cell r="F103" t="str">
            <v>Concours bancaires et autres passifs financiers</v>
          </cell>
        </row>
        <row r="104">
          <cell r="E104">
            <v>-31983</v>
          </cell>
          <cell r="F104" t="str">
            <v>Concours bancaires et autres passifs financiers</v>
          </cell>
        </row>
        <row r="105">
          <cell r="E105">
            <v>229.732</v>
          </cell>
          <cell r="F105" t="str">
            <v>Liquidités et équivalents de liquidités</v>
          </cell>
        </row>
        <row r="106">
          <cell r="E106">
            <v>303</v>
          </cell>
          <cell r="F106" t="str">
            <v>Liquidités et équivalents de liquidités</v>
          </cell>
        </row>
        <row r="107">
          <cell r="E107">
            <v>0</v>
          </cell>
        </row>
        <row r="108">
          <cell r="E108">
            <v>0</v>
          </cell>
        </row>
        <row r="109">
          <cell r="E109">
            <v>260</v>
          </cell>
          <cell r="F109" t="str">
            <v xml:space="preserve">Achats de marchandises </v>
          </cell>
        </row>
        <row r="110">
          <cell r="E110">
            <v>443967</v>
          </cell>
          <cell r="F110" t="str">
            <v xml:space="preserve">Achats de marchandises </v>
          </cell>
        </row>
        <row r="111">
          <cell r="E111">
            <v>5104</v>
          </cell>
          <cell r="F111" t="str">
            <v xml:space="preserve">Achats de marchandises </v>
          </cell>
        </row>
        <row r="112">
          <cell r="E112">
            <v>18455</v>
          </cell>
          <cell r="F112" t="str">
            <v xml:space="preserve">Achats de marchandises </v>
          </cell>
        </row>
        <row r="113">
          <cell r="E113">
            <v>206832</v>
          </cell>
          <cell r="F113" t="str">
            <v xml:space="preserve">Achats de marchandises </v>
          </cell>
        </row>
        <row r="114">
          <cell r="E114">
            <v>4564</v>
          </cell>
          <cell r="F114" t="str">
            <v xml:space="preserve">Achats de marchandises </v>
          </cell>
        </row>
        <row r="115">
          <cell r="E115">
            <v>56720</v>
          </cell>
          <cell r="F115" t="str">
            <v xml:space="preserve">Achats de marchandises </v>
          </cell>
        </row>
        <row r="116">
          <cell r="E116">
            <v>9155</v>
          </cell>
          <cell r="F116" t="str">
            <v xml:space="preserve">Achats de marchandises </v>
          </cell>
        </row>
        <row r="117">
          <cell r="E117">
            <v>79313</v>
          </cell>
          <cell r="F117" t="str">
            <v xml:space="preserve">Achats de marchandises </v>
          </cell>
        </row>
        <row r="118">
          <cell r="E118">
            <v>28398</v>
          </cell>
          <cell r="F118" t="str">
            <v>Variations des stocks</v>
          </cell>
        </row>
        <row r="119">
          <cell r="E119">
            <v>193302</v>
          </cell>
          <cell r="F119" t="str">
            <v>Variations des stocks</v>
          </cell>
        </row>
        <row r="120">
          <cell r="E120">
            <v>32193</v>
          </cell>
          <cell r="F120" t="str">
            <v xml:space="preserve">Achats d'approvisionnements </v>
          </cell>
        </row>
        <row r="121">
          <cell r="E121">
            <v>-10000</v>
          </cell>
          <cell r="F121" t="str">
            <v xml:space="preserve">Achats d'approvisionnements </v>
          </cell>
        </row>
        <row r="122">
          <cell r="E122">
            <v>22029.643</v>
          </cell>
          <cell r="F122" t="str">
            <v xml:space="preserve">Achats d'approvisionnements </v>
          </cell>
        </row>
        <row r="123">
          <cell r="E123">
            <v>2078.777</v>
          </cell>
          <cell r="F123" t="str">
            <v xml:space="preserve">Achats d'approvisionnements </v>
          </cell>
        </row>
        <row r="124">
          <cell r="E124">
            <v>1705.184</v>
          </cell>
          <cell r="F124" t="str">
            <v xml:space="preserve">Achats d'approvisionnements </v>
          </cell>
        </row>
        <row r="125">
          <cell r="E125">
            <v>55454</v>
          </cell>
          <cell r="F125" t="str">
            <v xml:space="preserve">Achats d'approvisionnements </v>
          </cell>
        </row>
        <row r="126">
          <cell r="E126">
            <v>5555</v>
          </cell>
          <cell r="F126" t="str">
            <v xml:space="preserve">Achats d'approvisionnements </v>
          </cell>
        </row>
        <row r="127">
          <cell r="E127">
            <v>567</v>
          </cell>
          <cell r="F127" t="str">
            <v xml:space="preserve">Achats d'approvisionnements </v>
          </cell>
        </row>
        <row r="128">
          <cell r="E128">
            <v>62411</v>
          </cell>
          <cell r="F128" t="str">
            <v>Autres charges d'exploitation</v>
          </cell>
        </row>
        <row r="129">
          <cell r="E129">
            <v>900</v>
          </cell>
          <cell r="F129" t="str">
            <v>Autres charges d'exploitation</v>
          </cell>
        </row>
        <row r="130">
          <cell r="E130">
            <v>1000.6</v>
          </cell>
          <cell r="F130" t="str">
            <v>Autres charges d'exploitation</v>
          </cell>
        </row>
        <row r="131">
          <cell r="E131">
            <v>4789</v>
          </cell>
          <cell r="F131" t="str">
            <v>Autres charges d'exploitation</v>
          </cell>
        </row>
        <row r="132">
          <cell r="E132">
            <v>1431.008</v>
          </cell>
          <cell r="F132" t="str">
            <v>Autres charges d'exploitation</v>
          </cell>
        </row>
        <row r="133">
          <cell r="E133">
            <v>32011.768</v>
          </cell>
          <cell r="F133" t="str">
            <v>Autres charges d'exploitation</v>
          </cell>
        </row>
        <row r="134">
          <cell r="E134">
            <v>2780.03</v>
          </cell>
          <cell r="F134" t="str">
            <v>Autres charges d'exploitation</v>
          </cell>
        </row>
        <row r="135">
          <cell r="E135">
            <v>6903</v>
          </cell>
          <cell r="F135" t="str">
            <v>Autres charges d'exploitation</v>
          </cell>
        </row>
        <row r="136">
          <cell r="E136">
            <v>46615.6</v>
          </cell>
          <cell r="F136" t="str">
            <v>Autres charges d'exploitation</v>
          </cell>
        </row>
        <row r="137">
          <cell r="E137">
            <v>34586.67</v>
          </cell>
          <cell r="F137" t="str">
            <v>Autres charges d'exploitation</v>
          </cell>
        </row>
        <row r="138">
          <cell r="E138">
            <v>26884.769</v>
          </cell>
          <cell r="F138" t="str">
            <v>Autres charges d'exploitation</v>
          </cell>
        </row>
        <row r="139">
          <cell r="E139">
            <v>4361.91</v>
          </cell>
          <cell r="F139" t="str">
            <v>Autres charges d'exploitation</v>
          </cell>
        </row>
        <row r="140">
          <cell r="E140">
            <v>9913</v>
          </cell>
          <cell r="F140" t="str">
            <v>Autres charges d'exploitation</v>
          </cell>
        </row>
        <row r="141">
          <cell r="E141">
            <v>55.15</v>
          </cell>
          <cell r="F141" t="str">
            <v>Autres charges d'exploitation</v>
          </cell>
        </row>
        <row r="142">
          <cell r="E142">
            <v>20403.91</v>
          </cell>
          <cell r="F142" t="str">
            <v>Autres charges d'exploitation</v>
          </cell>
        </row>
        <row r="143">
          <cell r="E143">
            <v>17458</v>
          </cell>
          <cell r="F143" t="str">
            <v>Autres charges d'exploitation</v>
          </cell>
        </row>
        <row r="144">
          <cell r="E144">
            <v>25437</v>
          </cell>
          <cell r="F144" t="str">
            <v>Autres charges d'exploitation</v>
          </cell>
        </row>
        <row r="145">
          <cell r="E145">
            <v>4528</v>
          </cell>
          <cell r="F145" t="str">
            <v>Autres charges d'exploitation</v>
          </cell>
        </row>
        <row r="146">
          <cell r="E146">
            <v>617</v>
          </cell>
          <cell r="F146" t="str">
            <v>Autres charges d'exploitation</v>
          </cell>
        </row>
        <row r="147">
          <cell r="E147">
            <v>28392</v>
          </cell>
          <cell r="F147" t="str">
            <v>Autres charges d'exploitation</v>
          </cell>
        </row>
        <row r="148">
          <cell r="E148">
            <v>91571.03</v>
          </cell>
          <cell r="F148" t="str">
            <v>Autres charges d'exploitation</v>
          </cell>
        </row>
        <row r="149">
          <cell r="E149">
            <v>820.11</v>
          </cell>
          <cell r="F149" t="str">
            <v>Autres charges d'exploitation</v>
          </cell>
        </row>
        <row r="150">
          <cell r="E150">
            <v>5000</v>
          </cell>
          <cell r="F150" t="str">
            <v>Autres charges d'exploitation</v>
          </cell>
        </row>
        <row r="151">
          <cell r="E151">
            <v>-5000</v>
          </cell>
          <cell r="F151" t="str">
            <v>Autres charges d'exploitation</v>
          </cell>
        </row>
        <row r="152">
          <cell r="E152">
            <v>87</v>
          </cell>
          <cell r="F152" t="str">
            <v>Autres pertes ordinaires</v>
          </cell>
        </row>
        <row r="153">
          <cell r="E153">
            <v>912159</v>
          </cell>
          <cell r="F153" t="str">
            <v>Charges de personnel</v>
          </cell>
        </row>
        <row r="154">
          <cell r="E154">
            <v>210000</v>
          </cell>
          <cell r="F154" t="str">
            <v>Charges de personnel</v>
          </cell>
        </row>
        <row r="155">
          <cell r="E155">
            <v>48952</v>
          </cell>
          <cell r="F155" t="str">
            <v>Charges de personnel</v>
          </cell>
        </row>
        <row r="156">
          <cell r="E156">
            <v>87790</v>
          </cell>
          <cell r="F156" t="str">
            <v>Charges de personnel</v>
          </cell>
        </row>
        <row r="157">
          <cell r="E157">
            <v>2090</v>
          </cell>
          <cell r="F157" t="str">
            <v>Charges de personnel</v>
          </cell>
        </row>
        <row r="158">
          <cell r="E158">
            <v>19144.231</v>
          </cell>
          <cell r="F158" t="str">
            <v>Charges de personnel</v>
          </cell>
        </row>
        <row r="159">
          <cell r="E159">
            <v>86816</v>
          </cell>
          <cell r="F159" t="str">
            <v>Charges de personnel</v>
          </cell>
        </row>
        <row r="160">
          <cell r="E160">
            <v>45414</v>
          </cell>
          <cell r="F160" t="str">
            <v>Charges financières nettes</v>
          </cell>
        </row>
        <row r="161">
          <cell r="E161">
            <v>35929.036</v>
          </cell>
          <cell r="F161" t="str">
            <v>Charges financières nettes</v>
          </cell>
        </row>
        <row r="162">
          <cell r="E162">
            <v>107076</v>
          </cell>
          <cell r="F162" t="str">
            <v>Charges financières nettes</v>
          </cell>
        </row>
        <row r="163">
          <cell r="E163">
            <v>2603.04</v>
          </cell>
          <cell r="F163" t="str">
            <v>Charges financières nettes</v>
          </cell>
        </row>
        <row r="164">
          <cell r="E164">
            <v>17288</v>
          </cell>
          <cell r="F164" t="str">
            <v>Charges financières nettes</v>
          </cell>
        </row>
        <row r="165">
          <cell r="E165">
            <v>216</v>
          </cell>
          <cell r="F165" t="str">
            <v>Autres charges d'exploitation</v>
          </cell>
        </row>
        <row r="166">
          <cell r="E166">
            <v>23726</v>
          </cell>
          <cell r="F166" t="str">
            <v>Autres charges d'exploitation</v>
          </cell>
        </row>
        <row r="167">
          <cell r="E167">
            <v>11863</v>
          </cell>
          <cell r="F167" t="str">
            <v>Autres charges d'exploitation</v>
          </cell>
        </row>
        <row r="168">
          <cell r="E168">
            <v>9035.482</v>
          </cell>
          <cell r="F168" t="str">
            <v>Autres charges d'exploitation</v>
          </cell>
        </row>
        <row r="169">
          <cell r="E169">
            <v>4692</v>
          </cell>
          <cell r="F169" t="str">
            <v>Autres charges d'exploitation</v>
          </cell>
        </row>
        <row r="170">
          <cell r="E170">
            <v>1600</v>
          </cell>
          <cell r="F170" t="str">
            <v>Autres charges d'exploitation</v>
          </cell>
        </row>
        <row r="171">
          <cell r="E171">
            <v>2136</v>
          </cell>
          <cell r="F171" t="str">
            <v>Dotations aux amortissements et aux  provisions</v>
          </cell>
        </row>
        <row r="172">
          <cell r="E172">
            <v>217432</v>
          </cell>
          <cell r="F172" t="str">
            <v>Dotations aux amortissements et aux  provisions</v>
          </cell>
        </row>
        <row r="173">
          <cell r="E173">
            <v>8351</v>
          </cell>
          <cell r="F173" t="str">
            <v>Dotations aux amortissements et aux  provisions</v>
          </cell>
        </row>
        <row r="174">
          <cell r="E174">
            <v>-1538447</v>
          </cell>
          <cell r="F174" t="str">
            <v>Revenus</v>
          </cell>
        </row>
        <row r="175">
          <cell r="E175">
            <v>-69600</v>
          </cell>
          <cell r="F175" t="str">
            <v>Revenus</v>
          </cell>
        </row>
        <row r="176">
          <cell r="E176">
            <v>-137620</v>
          </cell>
          <cell r="F176" t="str">
            <v>Revenus</v>
          </cell>
        </row>
        <row r="177">
          <cell r="E177">
            <v>-12500</v>
          </cell>
          <cell r="F177" t="str">
            <v>Revenus</v>
          </cell>
        </row>
        <row r="178">
          <cell r="E178">
            <v>-86680</v>
          </cell>
          <cell r="F178" t="str">
            <v>Revenus</v>
          </cell>
        </row>
        <row r="179">
          <cell r="E179">
            <v>-15000</v>
          </cell>
          <cell r="F179" t="str">
            <v>Revenus</v>
          </cell>
        </row>
        <row r="180">
          <cell r="E180">
            <v>-7200</v>
          </cell>
          <cell r="F180" t="str">
            <v>Revenus</v>
          </cell>
        </row>
        <row r="181">
          <cell r="E181">
            <v>-36150</v>
          </cell>
          <cell r="F181" t="str">
            <v>Revenus</v>
          </cell>
        </row>
        <row r="182">
          <cell r="E182">
            <v>-30460</v>
          </cell>
          <cell r="F182" t="str">
            <v>Revenus</v>
          </cell>
        </row>
        <row r="183">
          <cell r="E183">
            <v>-9000</v>
          </cell>
          <cell r="F183" t="str">
            <v>Revenus</v>
          </cell>
        </row>
        <row r="184">
          <cell r="E184">
            <v>-7950</v>
          </cell>
          <cell r="F184" t="str">
            <v>Revenus</v>
          </cell>
        </row>
        <row r="185">
          <cell r="E185">
            <v>-105922.33</v>
          </cell>
          <cell r="F185" t="str">
            <v>Revenus</v>
          </cell>
        </row>
        <row r="186">
          <cell r="E186">
            <v>-74571.875</v>
          </cell>
          <cell r="F186" t="str">
            <v>Revenus</v>
          </cell>
        </row>
        <row r="187">
          <cell r="E187">
            <v>-66960</v>
          </cell>
          <cell r="F187" t="str">
            <v>Revenus</v>
          </cell>
        </row>
        <row r="188">
          <cell r="E188">
            <v>-1500</v>
          </cell>
          <cell r="F188" t="str">
            <v>Revenus</v>
          </cell>
        </row>
        <row r="189">
          <cell r="E189">
            <v>-25542.5</v>
          </cell>
          <cell r="F189" t="str">
            <v>Revenus</v>
          </cell>
        </row>
        <row r="190">
          <cell r="E190">
            <v>-11520</v>
          </cell>
          <cell r="F190" t="str">
            <v>Revenus</v>
          </cell>
        </row>
        <row r="191">
          <cell r="E191">
            <v>-10100</v>
          </cell>
          <cell r="F191" t="str">
            <v>Revenus</v>
          </cell>
        </row>
        <row r="192">
          <cell r="E192">
            <v>-7200</v>
          </cell>
          <cell r="F192" t="str">
            <v>Revenus</v>
          </cell>
        </row>
        <row r="193">
          <cell r="E193">
            <v>-4000</v>
          </cell>
          <cell r="F193" t="str">
            <v>Revenus</v>
          </cell>
        </row>
        <row r="194">
          <cell r="E194">
            <v>-2080</v>
          </cell>
          <cell r="F194" t="str">
            <v>Revenus</v>
          </cell>
        </row>
        <row r="195">
          <cell r="E195">
            <v>-315450</v>
          </cell>
          <cell r="F195" t="str">
            <v>Revenus</v>
          </cell>
        </row>
        <row r="196">
          <cell r="E196">
            <v>-19200</v>
          </cell>
          <cell r="F196" t="str">
            <v>Revenus</v>
          </cell>
        </row>
        <row r="197">
          <cell r="E197">
            <v>-165457.22</v>
          </cell>
          <cell r="F197" t="str">
            <v>Revenus</v>
          </cell>
        </row>
        <row r="198">
          <cell r="E198">
            <v>-5000</v>
          </cell>
          <cell r="F198" t="str">
            <v>Revenus</v>
          </cell>
        </row>
        <row r="199">
          <cell r="E199">
            <v>-700</v>
          </cell>
          <cell r="F199" t="str">
            <v>Revenus</v>
          </cell>
        </row>
        <row r="200">
          <cell r="E200">
            <v>-343858</v>
          </cell>
          <cell r="F200" t="str">
            <v>Autres charges d'exploitation</v>
          </cell>
        </row>
        <row r="201">
          <cell r="E201">
            <v>-19215</v>
          </cell>
          <cell r="F201" t="str">
            <v>Autres gains ordinaires</v>
          </cell>
        </row>
        <row r="202">
          <cell r="E202">
            <v>-79902</v>
          </cell>
          <cell r="F202" t="str">
            <v>Autres gains ordinaires</v>
          </cell>
        </row>
        <row r="203">
          <cell r="E203">
            <v>-2116502</v>
          </cell>
          <cell r="F203" t="str">
            <v>Produits financiers</v>
          </cell>
        </row>
        <row r="204">
          <cell r="E204">
            <v>-103763</v>
          </cell>
          <cell r="F204" t="str">
            <v>Produits financiers</v>
          </cell>
        </row>
        <row r="205">
          <cell r="E205">
            <v>-65682</v>
          </cell>
          <cell r="F205" t="str">
            <v>Produits financiers</v>
          </cell>
        </row>
        <row r="206">
          <cell r="E206">
            <v>0</v>
          </cell>
        </row>
        <row r="207">
          <cell r="E207">
            <v>-1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alance comparative (2)"/>
    </sheetNames>
    <sheetDataSet>
      <sheetData sheetId="0">
        <row r="1">
          <cell r="F1">
            <v>36678</v>
          </cell>
          <cell r="G1">
            <v>37043</v>
          </cell>
          <cell r="J1" t="str">
            <v>Affectation</v>
          </cell>
        </row>
        <row r="3">
          <cell r="F3">
            <v>835</v>
          </cell>
          <cell r="G3">
            <v>5116.4650000000001</v>
          </cell>
          <cell r="J3" t="str">
            <v>Achats consommés</v>
          </cell>
        </row>
        <row r="4">
          <cell r="F4">
            <v>3161.395</v>
          </cell>
          <cell r="G4">
            <v>3422.7660000000001</v>
          </cell>
          <cell r="J4" t="str">
            <v>Achats consommés</v>
          </cell>
        </row>
        <row r="5">
          <cell r="F5">
            <v>3177.8249999999998</v>
          </cell>
          <cell r="G5">
            <v>3809.6219999999998</v>
          </cell>
          <cell r="J5" t="str">
            <v>Achats consommés</v>
          </cell>
        </row>
        <row r="6">
          <cell r="F6">
            <v>7926.03</v>
          </cell>
          <cell r="G6">
            <v>7917.69</v>
          </cell>
          <cell r="J6" t="str">
            <v>Achats consommés</v>
          </cell>
        </row>
        <row r="7">
          <cell r="F7">
            <v>1038</v>
          </cell>
          <cell r="G7">
            <v>0</v>
          </cell>
          <cell r="J7" t="str">
            <v>Achats consommés</v>
          </cell>
        </row>
        <row r="8">
          <cell r="F8">
            <v>0</v>
          </cell>
          <cell r="G8">
            <v>851</v>
          </cell>
          <cell r="J8" t="str">
            <v>Achats consommés</v>
          </cell>
        </row>
        <row r="9">
          <cell r="F9">
            <v>462.92700000000002</v>
          </cell>
          <cell r="G9">
            <v>253.99</v>
          </cell>
          <cell r="J9" t="str">
            <v>Achats consommés</v>
          </cell>
        </row>
        <row r="10">
          <cell r="F10">
            <v>1452.8320000000001</v>
          </cell>
          <cell r="G10">
            <v>2141.0839999999998</v>
          </cell>
          <cell r="J10" t="str">
            <v>Achats consommés</v>
          </cell>
        </row>
        <row r="11">
          <cell r="F11">
            <v>2400.4780000000001</v>
          </cell>
          <cell r="G11">
            <v>2114.605</v>
          </cell>
          <cell r="J11" t="str">
            <v>Achats consommés</v>
          </cell>
        </row>
        <row r="12">
          <cell r="F12">
            <v>1597.5219999999999</v>
          </cell>
          <cell r="G12">
            <v>1665.91</v>
          </cell>
          <cell r="J12" t="str">
            <v>Achats consommés</v>
          </cell>
        </row>
        <row r="13">
          <cell r="F13">
            <v>372.9</v>
          </cell>
          <cell r="G13">
            <v>277.60000000000002</v>
          </cell>
          <cell r="J13" t="str">
            <v>Achats consommés</v>
          </cell>
        </row>
        <row r="14">
          <cell r="F14">
            <v>3689.4160000000002</v>
          </cell>
          <cell r="G14">
            <v>4981.5060000000003</v>
          </cell>
          <cell r="J14" t="str">
            <v>Achats consommés</v>
          </cell>
        </row>
        <row r="15">
          <cell r="F15">
            <v>26114.325000000001</v>
          </cell>
          <cell r="G15">
            <v>32552.237999999998</v>
          </cell>
        </row>
        <row r="16">
          <cell r="F16">
            <v>-732127.95</v>
          </cell>
          <cell r="G16">
            <v>-821316.78</v>
          </cell>
          <cell r="J16" t="str">
            <v>Chiffre d'affaires</v>
          </cell>
        </row>
        <row r="17">
          <cell r="F17">
            <v>-10687.5</v>
          </cell>
          <cell r="G17">
            <v>0</v>
          </cell>
          <cell r="J17" t="str">
            <v>Chiffre d'affaires</v>
          </cell>
        </row>
        <row r="18">
          <cell r="F18">
            <v>-742815.45</v>
          </cell>
          <cell r="G18">
            <v>-821316.78</v>
          </cell>
        </row>
        <row r="19">
          <cell r="F19">
            <v>158667.60200000001</v>
          </cell>
          <cell r="G19">
            <v>149405.97</v>
          </cell>
          <cell r="J19" t="str">
            <v>Charges du personnel</v>
          </cell>
        </row>
        <row r="20">
          <cell r="F20">
            <v>23609.254000000001</v>
          </cell>
          <cell r="G20">
            <v>26308.555</v>
          </cell>
          <cell r="J20" t="str">
            <v>Charges du personnel</v>
          </cell>
        </row>
        <row r="21">
          <cell r="F21">
            <v>20889.204000000002</v>
          </cell>
          <cell r="G21">
            <v>24957.155999999999</v>
          </cell>
          <cell r="J21" t="str">
            <v>Charges du personnel</v>
          </cell>
        </row>
        <row r="22">
          <cell r="F22">
            <v>12735.642</v>
          </cell>
          <cell r="G22">
            <v>0</v>
          </cell>
          <cell r="J22" t="str">
            <v>Charges du personnel</v>
          </cell>
        </row>
        <row r="23">
          <cell r="F23">
            <v>2229.3679999999999</v>
          </cell>
          <cell r="G23">
            <v>2200</v>
          </cell>
          <cell r="J23" t="str">
            <v>Charges du personnel</v>
          </cell>
        </row>
        <row r="24">
          <cell r="F24">
            <v>8968.8250000000007</v>
          </cell>
          <cell r="G24">
            <v>10143.383</v>
          </cell>
          <cell r="J24" t="str">
            <v>Charges du personnel</v>
          </cell>
        </row>
        <row r="25">
          <cell r="F25">
            <v>1814.402</v>
          </cell>
          <cell r="G25">
            <v>1604.316</v>
          </cell>
          <cell r="J25" t="str">
            <v>Charges du personnel</v>
          </cell>
        </row>
        <row r="26">
          <cell r="F26">
            <v>1740.7660000000001</v>
          </cell>
          <cell r="G26">
            <v>1973.5840000000001</v>
          </cell>
          <cell r="J26" t="str">
            <v>Charges du personnel</v>
          </cell>
        </row>
        <row r="27">
          <cell r="F27">
            <v>1061.3030000000001</v>
          </cell>
          <cell r="G27">
            <v>0</v>
          </cell>
          <cell r="J27" t="str">
            <v>Charges du personnel</v>
          </cell>
        </row>
        <row r="28">
          <cell r="F28">
            <v>0</v>
          </cell>
          <cell r="G28">
            <v>30947.502</v>
          </cell>
          <cell r="J28" t="str">
            <v>Charges du personnel</v>
          </cell>
        </row>
        <row r="29">
          <cell r="F29">
            <v>0</v>
          </cell>
          <cell r="G29">
            <v>6153.6540000000005</v>
          </cell>
          <cell r="J29" t="str">
            <v>Charges du personnel</v>
          </cell>
        </row>
        <row r="30">
          <cell r="F30">
            <v>0</v>
          </cell>
          <cell r="G30">
            <v>5920.7520000000004</v>
          </cell>
          <cell r="J30" t="str">
            <v>Charges du personnel</v>
          </cell>
        </row>
        <row r="31">
          <cell r="F31">
            <v>16954.519</v>
          </cell>
          <cell r="G31">
            <v>21167.488000000001</v>
          </cell>
          <cell r="J31" t="str">
            <v>Charges du personnel</v>
          </cell>
        </row>
        <row r="32">
          <cell r="F32">
            <v>4194.9049999999997</v>
          </cell>
          <cell r="G32">
            <v>4605.625</v>
          </cell>
          <cell r="J32" t="str">
            <v>Charges du personnel</v>
          </cell>
        </row>
        <row r="33">
          <cell r="F33">
            <v>3771.79</v>
          </cell>
          <cell r="G33">
            <v>4443.5730000000003</v>
          </cell>
          <cell r="J33" t="str">
            <v>Charges du personnel</v>
          </cell>
        </row>
        <row r="34">
          <cell r="F34">
            <v>0</v>
          </cell>
          <cell r="G34">
            <v>6418.3379999999997</v>
          </cell>
          <cell r="J34" t="str">
            <v>Charges du personnel</v>
          </cell>
        </row>
        <row r="35">
          <cell r="F35">
            <v>2276.4949999999999</v>
          </cell>
          <cell r="G35">
            <v>0</v>
          </cell>
          <cell r="J35" t="str">
            <v>Charges du personnel</v>
          </cell>
        </row>
        <row r="36">
          <cell r="F36">
            <v>4209.9350000000004</v>
          </cell>
          <cell r="G36">
            <v>0</v>
          </cell>
          <cell r="J36" t="str">
            <v>Charges du personnel</v>
          </cell>
        </row>
        <row r="37">
          <cell r="F37">
            <v>4827.3149999999996</v>
          </cell>
          <cell r="G37">
            <v>5516.1769999999997</v>
          </cell>
          <cell r="J37" t="str">
            <v>Charges du personnel</v>
          </cell>
        </row>
        <row r="38">
          <cell r="F38">
            <v>1092.825</v>
          </cell>
          <cell r="G38">
            <v>763.82</v>
          </cell>
          <cell r="J38" t="str">
            <v>Charges du personnel</v>
          </cell>
        </row>
        <row r="39">
          <cell r="F39">
            <v>1055.864</v>
          </cell>
          <cell r="G39">
            <v>1013.827</v>
          </cell>
          <cell r="J39" t="str">
            <v>Charges du personnel</v>
          </cell>
        </row>
        <row r="40">
          <cell r="F40">
            <v>0</v>
          </cell>
          <cell r="G40">
            <v>2375.748</v>
          </cell>
          <cell r="J40" t="str">
            <v>Charges du personnel</v>
          </cell>
        </row>
        <row r="41">
          <cell r="F41">
            <v>0</v>
          </cell>
          <cell r="G41">
            <v>11.279</v>
          </cell>
          <cell r="J41" t="str">
            <v>Charges du personnel</v>
          </cell>
        </row>
        <row r="42">
          <cell r="F42">
            <v>270100.01400000008</v>
          </cell>
          <cell r="G42">
            <v>305930.74699999997</v>
          </cell>
        </row>
        <row r="43">
          <cell r="F43">
            <v>-27789.678</v>
          </cell>
          <cell r="G43">
            <v>-3812.1990000000001</v>
          </cell>
          <cell r="J43" t="str">
            <v>Autres produits ordinaires</v>
          </cell>
        </row>
        <row r="44">
          <cell r="F44">
            <v>-2170.0320000000002</v>
          </cell>
          <cell r="G44">
            <v>-4715.2619999999997</v>
          </cell>
          <cell r="J44" t="str">
            <v>Autres produits ordinaires</v>
          </cell>
        </row>
        <row r="45">
          <cell r="F45">
            <v>-137.928</v>
          </cell>
          <cell r="G45">
            <v>-2987.92</v>
          </cell>
          <cell r="J45" t="str">
            <v>Autres produits ordinaires</v>
          </cell>
        </row>
        <row r="46">
          <cell r="F46">
            <v>-6278.2929999999997</v>
          </cell>
          <cell r="G46">
            <v>0</v>
          </cell>
          <cell r="J46" t="str">
            <v>Autres produits ordinaires</v>
          </cell>
        </row>
        <row r="47">
          <cell r="F47">
            <v>-36375.930999999997</v>
          </cell>
          <cell r="G47">
            <v>-11515.380999999999</v>
          </cell>
        </row>
        <row r="48">
          <cell r="F48">
            <v>504.63799999999998</v>
          </cell>
          <cell r="G48">
            <v>1209.107</v>
          </cell>
          <cell r="J48" t="str">
            <v>Dotation aux amort et aux provisions</v>
          </cell>
        </row>
        <row r="49">
          <cell r="F49">
            <v>2455.288</v>
          </cell>
          <cell r="G49">
            <v>2215.3040000000001</v>
          </cell>
          <cell r="J49" t="str">
            <v>Dotation aux amort et aux provisions</v>
          </cell>
        </row>
        <row r="50">
          <cell r="F50">
            <v>7449.8419999999996</v>
          </cell>
          <cell r="G50">
            <v>8243.6200000000008</v>
          </cell>
          <cell r="J50" t="str">
            <v>Dotation aux amort et aux provisions</v>
          </cell>
        </row>
        <row r="51">
          <cell r="F51">
            <v>42.363999999999997</v>
          </cell>
          <cell r="G51">
            <v>49.863999999999997</v>
          </cell>
          <cell r="J51" t="str">
            <v>Dotation aux amort et aux provisions</v>
          </cell>
        </row>
        <row r="52">
          <cell r="F52">
            <v>23164.026999999998</v>
          </cell>
          <cell r="G52">
            <v>27699.760999999999</v>
          </cell>
          <cell r="J52" t="str">
            <v>Dotation aux amort et aux provisions</v>
          </cell>
        </row>
        <row r="53">
          <cell r="F53">
            <v>60.235999999999997</v>
          </cell>
          <cell r="G53">
            <v>113.93600000000001</v>
          </cell>
          <cell r="J53" t="str">
            <v>Dotation aux amort et aux provisions</v>
          </cell>
        </row>
        <row r="54">
          <cell r="F54">
            <v>821.976</v>
          </cell>
          <cell r="G54">
            <v>1458.886</v>
          </cell>
          <cell r="J54" t="str">
            <v>Dotation aux amort et aux provisions</v>
          </cell>
        </row>
        <row r="55">
          <cell r="F55">
            <v>570.46199999999999</v>
          </cell>
          <cell r="G55">
            <v>1262.518</v>
          </cell>
          <cell r="J55" t="str">
            <v>Dotation aux amort et aux provisions</v>
          </cell>
        </row>
        <row r="56">
          <cell r="F56">
            <v>139.32499999999999</v>
          </cell>
          <cell r="G56">
            <v>139.32499999999999</v>
          </cell>
          <cell r="J56" t="str">
            <v>Dotation aux amort et aux provisions</v>
          </cell>
        </row>
        <row r="57">
          <cell r="F57">
            <v>35208.157999999996</v>
          </cell>
          <cell r="G57">
            <v>42392.320999999996</v>
          </cell>
        </row>
        <row r="58">
          <cell r="F58">
            <v>52913.784</v>
          </cell>
          <cell r="G58">
            <v>28959.972000000002</v>
          </cell>
          <cell r="J58" t="str">
            <v>Autres charges externe</v>
          </cell>
        </row>
        <row r="59">
          <cell r="F59">
            <v>2736</v>
          </cell>
          <cell r="G59">
            <v>2794.9079999999999</v>
          </cell>
          <cell r="J59" t="str">
            <v>Autres charges externe</v>
          </cell>
        </row>
        <row r="60">
          <cell r="F60">
            <v>815.59299999999996</v>
          </cell>
          <cell r="G60">
            <v>180</v>
          </cell>
          <cell r="J60" t="str">
            <v>Autres charges externe</v>
          </cell>
        </row>
        <row r="61">
          <cell r="F61">
            <v>0</v>
          </cell>
          <cell r="G61">
            <v>2495</v>
          </cell>
          <cell r="J61" t="str">
            <v>Autres charges externe</v>
          </cell>
        </row>
        <row r="62">
          <cell r="F62">
            <v>8557.4320000000007</v>
          </cell>
          <cell r="G62">
            <v>8185.5969999999998</v>
          </cell>
          <cell r="J62" t="str">
            <v>Autres charges externe</v>
          </cell>
        </row>
        <row r="63">
          <cell r="F63">
            <v>8107.6970000000001</v>
          </cell>
          <cell r="G63">
            <v>6820.2960000000003</v>
          </cell>
          <cell r="J63" t="str">
            <v>Autres charges externe</v>
          </cell>
        </row>
        <row r="64">
          <cell r="F64">
            <v>1070.4000000000001</v>
          </cell>
          <cell r="G64">
            <v>2140.8000000000002</v>
          </cell>
          <cell r="J64" t="str">
            <v>Autres charges externe</v>
          </cell>
        </row>
        <row r="65">
          <cell r="F65">
            <v>3247.748</v>
          </cell>
          <cell r="G65">
            <v>4690.1769999999997</v>
          </cell>
          <cell r="J65" t="str">
            <v>Autres charges externe</v>
          </cell>
        </row>
        <row r="66">
          <cell r="F66">
            <v>3034.4070000000002</v>
          </cell>
          <cell r="G66">
            <v>8273.4940000000006</v>
          </cell>
          <cell r="J66" t="str">
            <v>Autres charges externe</v>
          </cell>
        </row>
        <row r="67">
          <cell r="F67">
            <v>2062.547</v>
          </cell>
          <cell r="G67">
            <v>1278.394</v>
          </cell>
          <cell r="J67" t="str">
            <v>Autres charges externe</v>
          </cell>
        </row>
        <row r="68">
          <cell r="F68">
            <v>635</v>
          </cell>
          <cell r="G68">
            <v>463.2</v>
          </cell>
          <cell r="J68" t="str">
            <v>Autres charges externe</v>
          </cell>
        </row>
        <row r="69">
          <cell r="F69">
            <v>2000</v>
          </cell>
          <cell r="G69">
            <v>430</v>
          </cell>
          <cell r="J69" t="str">
            <v>Autres charges externe</v>
          </cell>
        </row>
        <row r="70">
          <cell r="F70">
            <v>0</v>
          </cell>
          <cell r="G70">
            <v>5837</v>
          </cell>
          <cell r="J70" t="str">
            <v>Autres charges externe</v>
          </cell>
        </row>
        <row r="71">
          <cell r="F71">
            <v>0</v>
          </cell>
          <cell r="G71">
            <v>6808.5910000000003</v>
          </cell>
          <cell r="J71" t="str">
            <v>Autres charges externe</v>
          </cell>
        </row>
        <row r="72">
          <cell r="F72">
            <v>105</v>
          </cell>
          <cell r="G72">
            <v>19.95</v>
          </cell>
          <cell r="J72" t="str">
            <v>Autres charges externe</v>
          </cell>
        </row>
        <row r="73">
          <cell r="F73">
            <v>8427.4940000000006</v>
          </cell>
          <cell r="G73">
            <v>2812.3</v>
          </cell>
          <cell r="J73" t="str">
            <v>Autres charges externe</v>
          </cell>
        </row>
        <row r="74">
          <cell r="F74">
            <v>-750</v>
          </cell>
          <cell r="G74">
            <v>818.10799999999995</v>
          </cell>
          <cell r="J74" t="str">
            <v>Autres charges externe</v>
          </cell>
        </row>
        <row r="75">
          <cell r="F75">
            <v>2400</v>
          </cell>
          <cell r="G75">
            <v>2480</v>
          </cell>
          <cell r="J75" t="str">
            <v>Autres charges externe</v>
          </cell>
        </row>
        <row r="76">
          <cell r="F76">
            <v>17547.682000000001</v>
          </cell>
          <cell r="G76">
            <v>9771.6180000000004</v>
          </cell>
          <cell r="J76" t="str">
            <v>Autres charges externe</v>
          </cell>
        </row>
        <row r="77">
          <cell r="F77">
            <v>1868.682</v>
          </cell>
          <cell r="G77">
            <v>7780.7389999999996</v>
          </cell>
          <cell r="J77" t="str">
            <v>Autres charges externe</v>
          </cell>
        </row>
        <row r="78">
          <cell r="F78">
            <v>0</v>
          </cell>
          <cell r="G78">
            <v>2210.8000000000002</v>
          </cell>
          <cell r="J78" t="str">
            <v>Autres charges externe</v>
          </cell>
        </row>
        <row r="79">
          <cell r="F79">
            <v>1393.71</v>
          </cell>
          <cell r="G79">
            <v>1580.7860000000001</v>
          </cell>
          <cell r="J79" t="str">
            <v>Autres charges externe</v>
          </cell>
        </row>
        <row r="80">
          <cell r="F80">
            <v>4072.8330000000001</v>
          </cell>
          <cell r="G80">
            <v>1987.1479999999999</v>
          </cell>
          <cell r="J80" t="str">
            <v>Autres charges externe</v>
          </cell>
        </row>
        <row r="81">
          <cell r="F81">
            <v>980.47500000000002</v>
          </cell>
          <cell r="G81">
            <v>2335.6010000000001</v>
          </cell>
          <cell r="J81" t="str">
            <v>Autres charges externe</v>
          </cell>
        </row>
        <row r="82">
          <cell r="F82">
            <v>5025.3900000000003</v>
          </cell>
          <cell r="G82">
            <v>4167</v>
          </cell>
          <cell r="J82" t="str">
            <v>Autres charges externe</v>
          </cell>
        </row>
        <row r="83">
          <cell r="F83">
            <v>1622.4</v>
          </cell>
          <cell r="G83">
            <v>3367.5</v>
          </cell>
          <cell r="J83" t="str">
            <v>Autres charges externe</v>
          </cell>
        </row>
        <row r="84">
          <cell r="F84">
            <v>9257.5</v>
          </cell>
          <cell r="G84">
            <v>4420.7</v>
          </cell>
          <cell r="J84" t="str">
            <v>Autres charges externe</v>
          </cell>
        </row>
        <row r="85">
          <cell r="F85">
            <v>1120</v>
          </cell>
          <cell r="G85">
            <v>7374.5</v>
          </cell>
          <cell r="J85" t="str">
            <v>Autres charges externe</v>
          </cell>
        </row>
        <row r="86">
          <cell r="F86">
            <v>8110.6530000000002</v>
          </cell>
          <cell r="G86">
            <v>9428.9089999999997</v>
          </cell>
          <cell r="J86" t="str">
            <v>Autres charges externe</v>
          </cell>
        </row>
        <row r="87">
          <cell r="F87">
            <v>11176.21</v>
          </cell>
          <cell r="G87">
            <v>5498.6</v>
          </cell>
          <cell r="J87" t="str">
            <v>Autres charges externe</v>
          </cell>
        </row>
        <row r="88">
          <cell r="F88">
            <v>650.43399999999997</v>
          </cell>
          <cell r="G88">
            <v>5311.7179999999998</v>
          </cell>
          <cell r="J88" t="str">
            <v>Autres charges externe</v>
          </cell>
        </row>
        <row r="89">
          <cell r="F89">
            <v>415.76400000000001</v>
          </cell>
          <cell r="G89">
            <v>930</v>
          </cell>
          <cell r="J89" t="str">
            <v>Autres charges externe</v>
          </cell>
        </row>
        <row r="90">
          <cell r="F90">
            <v>621.44799999999998</v>
          </cell>
          <cell r="G90">
            <v>0</v>
          </cell>
          <cell r="J90" t="str">
            <v>Autres charges externe</v>
          </cell>
        </row>
        <row r="91">
          <cell r="F91">
            <v>5180.3789999999999</v>
          </cell>
          <cell r="G91">
            <v>744.07</v>
          </cell>
          <cell r="J91" t="str">
            <v>Autres charges externe</v>
          </cell>
        </row>
        <row r="92">
          <cell r="F92">
            <v>0</v>
          </cell>
          <cell r="G92">
            <v>0</v>
          </cell>
          <cell r="J92" t="str">
            <v>Autres charges externe</v>
          </cell>
        </row>
        <row r="93">
          <cell r="F93">
            <v>596.29999999999995</v>
          </cell>
          <cell r="G93">
            <v>0</v>
          </cell>
          <cell r="J93" t="str">
            <v>Autres charges externe</v>
          </cell>
        </row>
        <row r="94">
          <cell r="F94">
            <v>0</v>
          </cell>
          <cell r="G94">
            <v>6582.2969999999996</v>
          </cell>
          <cell r="J94" t="str">
            <v>Autres charges externe</v>
          </cell>
        </row>
        <row r="95">
          <cell r="F95">
            <v>309.8</v>
          </cell>
          <cell r="G95">
            <v>72</v>
          </cell>
          <cell r="J95" t="str">
            <v>Autres charges externe</v>
          </cell>
        </row>
        <row r="96">
          <cell r="F96">
            <v>22648.016</v>
          </cell>
          <cell r="G96">
            <v>19813.286</v>
          </cell>
          <cell r="J96" t="str">
            <v>Autres charges externe</v>
          </cell>
        </row>
        <row r="97">
          <cell r="F97">
            <v>2696.75</v>
          </cell>
          <cell r="G97">
            <v>3652.9009999999998</v>
          </cell>
          <cell r="J97" t="str">
            <v>Autres charges externe</v>
          </cell>
        </row>
        <row r="98">
          <cell r="F98">
            <v>6427.3040000000001</v>
          </cell>
          <cell r="G98">
            <v>4668.1270000000004</v>
          </cell>
          <cell r="J98" t="str">
            <v>Autres charges externe</v>
          </cell>
        </row>
        <row r="99">
          <cell r="F99">
            <v>5351.6109999999999</v>
          </cell>
          <cell r="G99">
            <v>4334.59</v>
          </cell>
          <cell r="J99" t="str">
            <v>Autres charges externe</v>
          </cell>
        </row>
        <row r="100">
          <cell r="F100">
            <v>769.24</v>
          </cell>
          <cell r="G100">
            <v>801.07799999999997</v>
          </cell>
          <cell r="J100" t="str">
            <v>Autres charges externe</v>
          </cell>
        </row>
        <row r="101">
          <cell r="F101">
            <v>2872</v>
          </cell>
          <cell r="G101">
            <v>2464</v>
          </cell>
          <cell r="J101" t="str">
            <v>Autres charges externe</v>
          </cell>
        </row>
        <row r="102">
          <cell r="F102">
            <v>8000</v>
          </cell>
          <cell r="G102">
            <v>6469.2539999999999</v>
          </cell>
          <cell r="J102" t="str">
            <v>Autres charges externe</v>
          </cell>
        </row>
        <row r="103">
          <cell r="F103">
            <v>5000</v>
          </cell>
          <cell r="G103">
            <v>3454.65</v>
          </cell>
          <cell r="J103" t="str">
            <v>Autres charges externe</v>
          </cell>
        </row>
        <row r="104">
          <cell r="F104">
            <v>0</v>
          </cell>
          <cell r="G104">
            <v>1200</v>
          </cell>
          <cell r="J104" t="str">
            <v>Autres charges externe</v>
          </cell>
        </row>
        <row r="105">
          <cell r="F105">
            <v>1110.1769999999999</v>
          </cell>
          <cell r="G105">
            <v>1285.528</v>
          </cell>
          <cell r="J105" t="str">
            <v>Autres charges externe</v>
          </cell>
        </row>
        <row r="106">
          <cell r="F106">
            <v>0</v>
          </cell>
          <cell r="G106">
            <v>1080</v>
          </cell>
          <cell r="J106" t="str">
            <v>Autres charges externe</v>
          </cell>
        </row>
        <row r="107">
          <cell r="F107">
            <v>5142.9629999999997</v>
          </cell>
          <cell r="G107">
            <v>0</v>
          </cell>
          <cell r="J107" t="str">
            <v>Autres charges externe</v>
          </cell>
        </row>
        <row r="108">
          <cell r="F108">
            <v>3611.5</v>
          </cell>
          <cell r="G108">
            <v>2750</v>
          </cell>
          <cell r="J108" t="str">
            <v>Autres charges externe</v>
          </cell>
        </row>
        <row r="109">
          <cell r="F109">
            <v>4207.0519999999997</v>
          </cell>
          <cell r="G109">
            <v>3447.134</v>
          </cell>
          <cell r="J109" t="str">
            <v xml:space="preserve">Impots et taxes </v>
          </cell>
        </row>
        <row r="110">
          <cell r="F110">
            <v>472.18700000000001</v>
          </cell>
          <cell r="G110">
            <v>406.411</v>
          </cell>
          <cell r="J110" t="str">
            <v xml:space="preserve">Impots et taxes </v>
          </cell>
        </row>
        <row r="111">
          <cell r="F111">
            <v>422.37299999999999</v>
          </cell>
          <cell r="G111">
            <v>434.18700000000001</v>
          </cell>
          <cell r="J111" t="str">
            <v xml:space="preserve">Impots et taxes </v>
          </cell>
        </row>
        <row r="112">
          <cell r="F112">
            <v>0</v>
          </cell>
          <cell r="G112">
            <v>286.81200000000001</v>
          </cell>
          <cell r="J112" t="str">
            <v xml:space="preserve">Impots et taxes </v>
          </cell>
        </row>
        <row r="113">
          <cell r="F113">
            <v>254.71199999999999</v>
          </cell>
          <cell r="G113">
            <v>0</v>
          </cell>
          <cell r="J113" t="str">
            <v xml:space="preserve">Impots et taxes </v>
          </cell>
        </row>
        <row r="114">
          <cell r="F114">
            <v>521.02</v>
          </cell>
          <cell r="G114">
            <v>0</v>
          </cell>
          <cell r="J114" t="str">
            <v xml:space="preserve">Impots et taxes </v>
          </cell>
        </row>
        <row r="115">
          <cell r="F115">
            <v>2364.038</v>
          </cell>
          <cell r="G115">
            <v>1723.569</v>
          </cell>
          <cell r="J115" t="str">
            <v xml:space="preserve">Impots et taxes </v>
          </cell>
        </row>
        <row r="116">
          <cell r="F116">
            <v>236.09299999999999</v>
          </cell>
          <cell r="G116">
            <v>203.20500000000001</v>
          </cell>
          <cell r="J116" t="str">
            <v xml:space="preserve">Impots et taxes </v>
          </cell>
        </row>
        <row r="117">
          <cell r="F117">
            <v>211.184</v>
          </cell>
          <cell r="G117">
            <v>217.096</v>
          </cell>
          <cell r="J117" t="str">
            <v xml:space="preserve">Impots et taxes </v>
          </cell>
        </row>
        <row r="118">
          <cell r="F118">
            <v>0</v>
          </cell>
          <cell r="G118">
            <v>143.40600000000001</v>
          </cell>
          <cell r="J118" t="str">
            <v xml:space="preserve">Impots et taxes </v>
          </cell>
        </row>
        <row r="119">
          <cell r="F119">
            <v>127.35599999999999</v>
          </cell>
          <cell r="G119">
            <v>0</v>
          </cell>
          <cell r="J119" t="str">
            <v xml:space="preserve">Impots et taxes </v>
          </cell>
        </row>
        <row r="120">
          <cell r="F120">
            <v>1845.3889999999999</v>
          </cell>
          <cell r="G120">
            <v>1959.903</v>
          </cell>
          <cell r="J120" t="str">
            <v xml:space="preserve">Impots et taxes </v>
          </cell>
        </row>
        <row r="121">
          <cell r="F121">
            <v>585</v>
          </cell>
          <cell r="G121">
            <v>1080</v>
          </cell>
          <cell r="J121" t="str">
            <v xml:space="preserve">Impots et taxes </v>
          </cell>
        </row>
        <row r="122">
          <cell r="F122">
            <v>111.29</v>
          </cell>
          <cell r="G122">
            <v>15.2</v>
          </cell>
          <cell r="J122" t="str">
            <v xml:space="preserve">Impots et taxes </v>
          </cell>
        </row>
        <row r="123">
          <cell r="F123">
            <v>0</v>
          </cell>
          <cell r="G123">
            <v>3045</v>
          </cell>
          <cell r="J123" t="str">
            <v xml:space="preserve">Impots et taxes </v>
          </cell>
        </row>
        <row r="124">
          <cell r="F124">
            <v>3908.779</v>
          </cell>
          <cell r="G124">
            <v>723.2</v>
          </cell>
          <cell r="J124" t="str">
            <v xml:space="preserve">Impots et taxes </v>
          </cell>
        </row>
        <row r="125">
          <cell r="F125">
            <v>244208.79599999997</v>
          </cell>
          <cell r="G125">
            <v>224710.30999999994</v>
          </cell>
        </row>
        <row r="126">
          <cell r="F126">
            <v>324.94200000000001</v>
          </cell>
          <cell r="G126">
            <v>64.599999999999994</v>
          </cell>
          <cell r="J126" t="str">
            <v>Charges financières</v>
          </cell>
        </row>
        <row r="127">
          <cell r="F127">
            <v>18589.204000000002</v>
          </cell>
          <cell r="G127">
            <v>27751.218000000001</v>
          </cell>
          <cell r="J127" t="str">
            <v>Charges financières</v>
          </cell>
        </row>
        <row r="128">
          <cell r="F128">
            <v>-0.89200000000000002</v>
          </cell>
          <cell r="G128">
            <v>6.7530000000000001</v>
          </cell>
          <cell r="J128" t="str">
            <v>Charges financières</v>
          </cell>
        </row>
        <row r="129">
          <cell r="F129">
            <v>18913.254000000001</v>
          </cell>
          <cell r="G129">
            <v>27822.571</v>
          </cell>
        </row>
        <row r="130">
          <cell r="F130">
            <v>67587.343999999997</v>
          </cell>
          <cell r="G130">
            <v>69798.39</v>
          </cell>
          <cell r="J130" t="str">
            <v>Impôt sur les bénéfices</v>
          </cell>
        </row>
        <row r="131">
          <cell r="F131">
            <v>67587.343999999997</v>
          </cell>
          <cell r="G131">
            <v>69798.39</v>
          </cell>
        </row>
        <row r="285">
          <cell r="F285">
            <v>-117894.48999999998</v>
          </cell>
          <cell r="G285">
            <v>-134742.049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ilan"/>
      <sheetName val="Etat de résultat"/>
      <sheetName val="TRESORERIE"/>
      <sheetName val="Balance comparative (2)"/>
    </sheetNames>
    <sheetDataSet>
      <sheetData sheetId="0" refreshError="1">
        <row r="5">
          <cell r="C5" t="str">
            <v>Exercice 1999</v>
          </cell>
          <cell r="D5" t="str">
            <v>Exercice 1998</v>
          </cell>
        </row>
        <row r="11">
          <cell r="C11">
            <v>6462.2</v>
          </cell>
          <cell r="D11">
            <v>0</v>
          </cell>
        </row>
        <row r="12">
          <cell r="C12">
            <v>-1818.03</v>
          </cell>
          <cell r="D12">
            <v>0</v>
          </cell>
        </row>
        <row r="14">
          <cell r="C14">
            <v>4644.17</v>
          </cell>
          <cell r="D14">
            <v>0</v>
          </cell>
        </row>
        <row r="16">
          <cell r="C16">
            <v>3145464</v>
          </cell>
          <cell r="D16">
            <v>2709324</v>
          </cell>
        </row>
        <row r="17">
          <cell r="C17">
            <v>-1384692.5</v>
          </cell>
          <cell r="D17">
            <v>-1002976.46</v>
          </cell>
        </row>
        <row r="19">
          <cell r="C19">
            <v>1760771</v>
          </cell>
          <cell r="D19">
            <v>1706348</v>
          </cell>
        </row>
        <row r="21">
          <cell r="C21">
            <v>542736.28</v>
          </cell>
          <cell r="D21">
            <v>475457</v>
          </cell>
        </row>
        <row r="24">
          <cell r="C24">
            <v>542736.28</v>
          </cell>
          <cell r="D24">
            <v>475457</v>
          </cell>
        </row>
        <row r="26">
          <cell r="C26">
            <v>2308152.12</v>
          </cell>
          <cell r="D26">
            <v>2181805</v>
          </cell>
        </row>
        <row r="28">
          <cell r="C28">
            <v>0</v>
          </cell>
          <cell r="D28">
            <v>0</v>
          </cell>
        </row>
        <row r="30">
          <cell r="C30">
            <v>2308152.12</v>
          </cell>
          <cell r="D30">
            <v>2181805</v>
          </cell>
        </row>
        <row r="35">
          <cell r="C35">
            <v>1341989</v>
          </cell>
          <cell r="D35">
            <v>106094</v>
          </cell>
        </row>
        <row r="38">
          <cell r="C38">
            <v>1601960.89</v>
          </cell>
          <cell r="D38">
            <v>643769.47</v>
          </cell>
        </row>
        <row r="41">
          <cell r="C41">
            <v>714951</v>
          </cell>
          <cell r="D41">
            <v>170842.51</v>
          </cell>
        </row>
        <row r="44">
          <cell r="C44">
            <v>426040.86</v>
          </cell>
          <cell r="D44">
            <v>405441.74</v>
          </cell>
        </row>
        <row r="46">
          <cell r="C46">
            <v>180582</v>
          </cell>
          <cell r="D46">
            <v>67935</v>
          </cell>
        </row>
        <row r="48">
          <cell r="C48">
            <v>4265525</v>
          </cell>
          <cell r="D48">
            <v>1394083</v>
          </cell>
        </row>
        <row r="51">
          <cell r="C51">
            <v>6573677</v>
          </cell>
          <cell r="D51">
            <v>3575888</v>
          </cell>
        </row>
        <row r="58">
          <cell r="C58" t="str">
            <v>Exercice 1999</v>
          </cell>
          <cell r="D58" t="str">
            <v>Exercice 1998</v>
          </cell>
        </row>
        <row r="63">
          <cell r="C63">
            <v>648000</v>
          </cell>
          <cell r="D63">
            <v>648000</v>
          </cell>
        </row>
        <row r="64">
          <cell r="C64">
            <v>29003.43</v>
          </cell>
          <cell r="D64">
            <v>24383.64</v>
          </cell>
        </row>
        <row r="66">
          <cell r="C66">
            <v>885</v>
          </cell>
          <cell r="D66">
            <v>885</v>
          </cell>
        </row>
        <row r="68">
          <cell r="C68">
            <v>677889</v>
          </cell>
          <cell r="D68">
            <v>673269</v>
          </cell>
        </row>
        <row r="70">
          <cell r="C70">
            <v>1544833.726</v>
          </cell>
          <cell r="D70">
            <v>92395</v>
          </cell>
        </row>
        <row r="72">
          <cell r="C72">
            <v>2222722</v>
          </cell>
          <cell r="D72">
            <v>765665</v>
          </cell>
        </row>
        <row r="79">
          <cell r="C79">
            <v>876608.26</v>
          </cell>
          <cell r="D79">
            <v>1050000</v>
          </cell>
        </row>
        <row r="83">
          <cell r="C83">
            <v>876608.26</v>
          </cell>
          <cell r="D83">
            <v>1050000</v>
          </cell>
        </row>
        <row r="87">
          <cell r="C87">
            <v>1262645</v>
          </cell>
          <cell r="D87">
            <v>626478.71</v>
          </cell>
        </row>
        <row r="88">
          <cell r="C88">
            <v>647517.97</v>
          </cell>
          <cell r="D88">
            <v>504285.96</v>
          </cell>
        </row>
        <row r="89">
          <cell r="C89">
            <v>1564182</v>
          </cell>
          <cell r="D89">
            <v>629458.47</v>
          </cell>
        </row>
        <row r="91">
          <cell r="C91">
            <v>3474346.15</v>
          </cell>
          <cell r="D91">
            <v>1760223.14</v>
          </cell>
        </row>
        <row r="93">
          <cell r="C93">
            <v>4350954.41</v>
          </cell>
          <cell r="D93">
            <v>2810223</v>
          </cell>
        </row>
        <row r="96">
          <cell r="C96">
            <v>6573677</v>
          </cell>
          <cell r="D96">
            <v>3575888</v>
          </cell>
        </row>
        <row r="101">
          <cell r="C101">
            <v>0</v>
          </cell>
          <cell r="D101">
            <v>-2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um_ert"/>
      <sheetName val="Bilan"/>
    </sheetNames>
    <sheetDataSet>
      <sheetData sheetId="0">
        <row r="1">
          <cell r="A1" t="str">
            <v>ETAT DE RESULTAT</v>
          </cell>
        </row>
        <row r="2">
          <cell r="A2" t="str">
            <v xml:space="preserve"> (modèle autorisé)</v>
          </cell>
        </row>
        <row r="4">
          <cell r="A4" t="str">
            <v xml:space="preserve"> (Exprimé en dinars)</v>
          </cell>
        </row>
        <row r="6">
          <cell r="C6" t="str">
            <v>Exercice 2000</v>
          </cell>
        </row>
        <row r="8">
          <cell r="A8" t="str">
            <v>Produits d'exploitation</v>
          </cell>
        </row>
        <row r="10">
          <cell r="A10" t="str">
            <v>Revenus</v>
          </cell>
          <cell r="C10">
            <v>6905587.9950000001</v>
          </cell>
        </row>
        <row r="12">
          <cell r="A12" t="str">
            <v>Total des produits d'exploitation</v>
          </cell>
          <cell r="C12">
            <v>6905587.9950000001</v>
          </cell>
        </row>
        <row r="14">
          <cell r="A14" t="str">
            <v>Charges d'exploitation</v>
          </cell>
        </row>
        <row r="16">
          <cell r="A16" t="str">
            <v>Achats de marchandises consommées</v>
          </cell>
          <cell r="C16">
            <v>2276850.1040000003</v>
          </cell>
        </row>
        <row r="17">
          <cell r="A17" t="str">
            <v>Achats d'approvisionnements consommés</v>
          </cell>
          <cell r="C17">
            <v>111913.24299999999</v>
          </cell>
        </row>
        <row r="18">
          <cell r="A18" t="str">
            <v>Charges de personnel</v>
          </cell>
          <cell r="C18">
            <v>2416413.2209999999</v>
          </cell>
        </row>
        <row r="19">
          <cell r="A19" t="str">
            <v>Dotations aux amortissements et aux  provisions</v>
          </cell>
          <cell r="C19">
            <v>560760.97399999993</v>
          </cell>
        </row>
        <row r="20">
          <cell r="A20" t="str">
            <v>Autres charges d'exploitation</v>
          </cell>
          <cell r="C20">
            <v>1094658.1680000001</v>
          </cell>
        </row>
        <row r="22">
          <cell r="A22" t="str">
            <v>Total des charges d'exploitation</v>
          </cell>
          <cell r="C22">
            <v>6460595.709999999</v>
          </cell>
        </row>
        <row r="24">
          <cell r="A24" t="str">
            <v>Résultat d'exploitation</v>
          </cell>
          <cell r="C24">
            <v>444992.28500000108</v>
          </cell>
        </row>
        <row r="26">
          <cell r="A26" t="str">
            <v>Charges financières nettes</v>
          </cell>
          <cell r="C26">
            <v>154325.647</v>
          </cell>
        </row>
        <row r="27">
          <cell r="A27" t="str">
            <v>Produits financiers</v>
          </cell>
          <cell r="C27">
            <v>2435974</v>
          </cell>
        </row>
        <row r="28">
          <cell r="A28" t="str">
            <v>Autres gains ordinaires</v>
          </cell>
          <cell r="C28">
            <v>501490.25399999996</v>
          </cell>
        </row>
        <row r="29">
          <cell r="A29" t="str">
            <v>Autres pertes ordinaires</v>
          </cell>
          <cell r="C29">
            <v>104426.72100000001</v>
          </cell>
        </row>
        <row r="31">
          <cell r="A31" t="str">
            <v>Résultat des activités ordinaires avant impôt</v>
          </cell>
          <cell r="C31">
            <v>3123704.171000001</v>
          </cell>
        </row>
        <row r="33">
          <cell r="A33" t="str">
            <v>Impôt sur les bénéfices</v>
          </cell>
          <cell r="C33">
            <v>108824.57927458255</v>
          </cell>
        </row>
        <row r="35">
          <cell r="A35" t="str">
            <v>Résultat des activités ordinaires après impôt</v>
          </cell>
          <cell r="C35">
            <v>3014879.5917254183</v>
          </cell>
        </row>
        <row r="37">
          <cell r="A37" t="str">
            <v>Eléments extraordinaires ( Gains / Pertes )</v>
          </cell>
          <cell r="C37">
            <v>0</v>
          </cell>
        </row>
        <row r="39">
          <cell r="A39" t="str">
            <v>Résultat net de l'exercice</v>
          </cell>
          <cell r="C39">
            <v>3014879.5917254183</v>
          </cell>
        </row>
        <row r="41">
          <cell r="A41" t="str">
            <v>Résultat net de l'exercice</v>
          </cell>
          <cell r="C41">
            <v>3014879.5917254183</v>
          </cell>
        </row>
        <row r="43">
          <cell r="A43" t="str">
            <v xml:space="preserve">Effet des modifications comptables </v>
          </cell>
          <cell r="C43">
            <v>0</v>
          </cell>
        </row>
        <row r="45">
          <cell r="A45" t="str">
            <v>Résultat après modifications comptables</v>
          </cell>
          <cell r="C45">
            <v>3014879.5917254183</v>
          </cell>
        </row>
        <row r="47">
          <cell r="A47" t="str">
            <v>ETAT DE RESULTAT</v>
          </cell>
        </row>
        <row r="48">
          <cell r="A48" t="str">
            <v xml:space="preserve"> (modèle autorisé)</v>
          </cell>
        </row>
        <row r="50">
          <cell r="A50" t="str">
            <v xml:space="preserve"> (Exprimé en dinars)</v>
          </cell>
        </row>
        <row r="52">
          <cell r="C52" t="str">
            <v>Exercice 2000</v>
          </cell>
        </row>
        <row r="54">
          <cell r="A54" t="str">
            <v>Produits d'exploitation</v>
          </cell>
        </row>
        <row r="56">
          <cell r="A56" t="str">
            <v>Revenus</v>
          </cell>
          <cell r="C56">
            <v>6678413.3500000006</v>
          </cell>
        </row>
        <row r="57">
          <cell r="A57" t="str">
            <v>Production immobilisée</v>
          </cell>
          <cell r="C57">
            <v>550000</v>
          </cell>
        </row>
        <row r="58">
          <cell r="A58" t="str">
            <v>Total des produits d'exploitation</v>
          </cell>
          <cell r="C58">
            <v>7228413.3500000006</v>
          </cell>
        </row>
        <row r="60">
          <cell r="A60" t="str">
            <v>Charges d'exploitation</v>
          </cell>
        </row>
        <row r="62">
          <cell r="A62" t="str">
            <v>Achats de marchandises consommées</v>
          </cell>
          <cell r="C62">
            <v>202625.962</v>
          </cell>
        </row>
        <row r="63">
          <cell r="A63" t="str">
            <v>Achats d'approvisionnements consommés</v>
          </cell>
          <cell r="C63">
            <v>1488.79</v>
          </cell>
        </row>
        <row r="64">
          <cell r="A64" t="str">
            <v>Charges de personnel</v>
          </cell>
          <cell r="C64">
            <v>2951745.4560000002</v>
          </cell>
        </row>
        <row r="65">
          <cell r="A65" t="str">
            <v>Dotations aux amortissements et aux  provisions</v>
          </cell>
          <cell r="C65">
            <v>207220.818</v>
          </cell>
        </row>
        <row r="66">
          <cell r="A66" t="str">
            <v>Autres charges d'exploitation</v>
          </cell>
          <cell r="C66">
            <v>1855728.7310000006</v>
          </cell>
        </row>
        <row r="68">
          <cell r="A68" t="str">
            <v>Total des charges d'exploitation</v>
          </cell>
          <cell r="C68">
            <v>5218809.7570000011</v>
          </cell>
        </row>
        <row r="70">
          <cell r="A70" t="str">
            <v>Résultat d'exploitation</v>
          </cell>
          <cell r="C70">
            <v>2009603.5929999994</v>
          </cell>
        </row>
        <row r="72">
          <cell r="A72" t="str">
            <v>Charges financières nettes</v>
          </cell>
          <cell r="C72">
            <v>111122.97500000001</v>
          </cell>
        </row>
        <row r="73">
          <cell r="A73" t="str">
            <v>Produits financiers</v>
          </cell>
          <cell r="C73">
            <v>223591.70199999999</v>
          </cell>
        </row>
        <row r="74">
          <cell r="A74" t="str">
            <v>Autres gains ordinaires</v>
          </cell>
          <cell r="C74">
            <v>57303.150999999998</v>
          </cell>
        </row>
        <row r="75">
          <cell r="A75" t="str">
            <v>Autres pertes ordinaires</v>
          </cell>
          <cell r="C75">
            <v>3.7999999999999999E-2</v>
          </cell>
        </row>
        <row r="77">
          <cell r="A77" t="str">
            <v>Résultat des activités ordinaires avant impôt</v>
          </cell>
          <cell r="C77">
            <v>2179375.4329999993</v>
          </cell>
        </row>
        <row r="79">
          <cell r="A79" t="str">
            <v>Impôt sur les bénéfices</v>
          </cell>
          <cell r="C79">
            <v>0</v>
          </cell>
        </row>
        <row r="81">
          <cell r="A81" t="str">
            <v>Résultat des activités ordinaires après impôt</v>
          </cell>
          <cell r="C81">
            <v>2179375.4329999993</v>
          </cell>
        </row>
        <row r="83">
          <cell r="A83" t="str">
            <v>Eléments extraordinaires ( Gains / Pertes )</v>
          </cell>
          <cell r="C83">
            <v>0</v>
          </cell>
        </row>
        <row r="85">
          <cell r="A85" t="str">
            <v>Résultat net de l'exercice</v>
          </cell>
          <cell r="C85">
            <v>2179375.4329999993</v>
          </cell>
        </row>
        <row r="87">
          <cell r="A87" t="str">
            <v>Résultat net de l'exercice</v>
          </cell>
          <cell r="C87">
            <v>2179375.4329999993</v>
          </cell>
        </row>
        <row r="89">
          <cell r="A89" t="str">
            <v xml:space="preserve">Effet des modifications comptables </v>
          </cell>
          <cell r="C89">
            <v>0</v>
          </cell>
        </row>
        <row r="91">
          <cell r="A91" t="str">
            <v>Résultat après modifications comptables</v>
          </cell>
          <cell r="C91">
            <v>2179375.4329999993</v>
          </cell>
        </row>
        <row r="93">
          <cell r="A93" t="str">
            <v>ETAT DE RESULTAT</v>
          </cell>
        </row>
        <row r="94">
          <cell r="A94" t="str">
            <v xml:space="preserve"> (modèle autorisé)</v>
          </cell>
        </row>
        <row r="96">
          <cell r="A96" t="str">
            <v xml:space="preserve"> (Exprimé en dinars)</v>
          </cell>
        </row>
        <row r="98">
          <cell r="C98" t="str">
            <v>Exercice 2000</v>
          </cell>
        </row>
        <row r="100">
          <cell r="A100" t="str">
            <v>Produits d'exploitation</v>
          </cell>
        </row>
        <row r="102">
          <cell r="A102" t="str">
            <v>Revenus</v>
          </cell>
          <cell r="C102">
            <v>14404.239</v>
          </cell>
        </row>
        <row r="104">
          <cell r="A104" t="str">
            <v>Total des produits d'exploitation</v>
          </cell>
          <cell r="C104">
            <v>14404.239</v>
          </cell>
        </row>
        <row r="106">
          <cell r="A106" t="str">
            <v>Charges d'exploitation</v>
          </cell>
        </row>
        <row r="108">
          <cell r="A108" t="str">
            <v>Achats de marchandises consommées</v>
          </cell>
        </row>
        <row r="109">
          <cell r="A109" t="str">
            <v>Achats d'approvisionnements consommés</v>
          </cell>
          <cell r="C109">
            <v>18923.855</v>
          </cell>
        </row>
        <row r="110">
          <cell r="A110" t="str">
            <v>Charges de personnel</v>
          </cell>
          <cell r="C110">
            <v>203822.85399999999</v>
          </cell>
        </row>
        <row r="111">
          <cell r="A111" t="str">
            <v>Dotations aux amortissements et aux  provisions</v>
          </cell>
          <cell r="C111">
            <v>9468.2569999999996</v>
          </cell>
        </row>
        <row r="112">
          <cell r="A112" t="str">
            <v>Autres charges d'exploitation</v>
          </cell>
          <cell r="C112">
            <v>67312.92</v>
          </cell>
        </row>
        <row r="114">
          <cell r="A114" t="str">
            <v>Total des charges d'exploitation</v>
          </cell>
          <cell r="C114">
            <v>299527.886</v>
          </cell>
        </row>
        <row r="116">
          <cell r="A116" t="str">
            <v>Résultat d'exploitation</v>
          </cell>
          <cell r="C116">
            <v>-285123.647</v>
          </cell>
        </row>
        <row r="118">
          <cell r="A118" t="str">
            <v>Charges financières nettes</v>
          </cell>
          <cell r="C118">
            <v>14429.024000000001</v>
          </cell>
        </row>
        <row r="119">
          <cell r="A119" t="str">
            <v>Produits financiers</v>
          </cell>
          <cell r="C119">
            <v>580.08600000000001</v>
          </cell>
        </row>
        <row r="120">
          <cell r="A120" t="str">
            <v>Autres gains ordinaires</v>
          </cell>
          <cell r="C120">
            <v>34411.603000000003</v>
          </cell>
        </row>
        <row r="121">
          <cell r="A121" t="str">
            <v>Autres pertes ordinaires</v>
          </cell>
          <cell r="C121">
            <v>1297.2570000000001</v>
          </cell>
        </row>
        <row r="123">
          <cell r="A123" t="str">
            <v>Résultat des activités ordinaires avant impôt</v>
          </cell>
          <cell r="C123">
            <v>-265858.23899999994</v>
          </cell>
        </row>
        <row r="125">
          <cell r="A125" t="str">
            <v>Impôt sur les bénéfices</v>
          </cell>
          <cell r="C125">
            <v>72.021000000000001</v>
          </cell>
        </row>
        <row r="127">
          <cell r="A127" t="str">
            <v>Résultat des activités ordinaires après impôt</v>
          </cell>
          <cell r="C127">
            <v>-265930.26</v>
          </cell>
        </row>
        <row r="129">
          <cell r="A129" t="str">
            <v>Eléments extraordinaires ( Gains / Pertes )</v>
          </cell>
          <cell r="C129">
            <v>0</v>
          </cell>
        </row>
        <row r="131">
          <cell r="A131" t="str">
            <v>Résultat net de l'exercice</v>
          </cell>
          <cell r="C131">
            <v>-265930.26</v>
          </cell>
        </row>
        <row r="133">
          <cell r="A133" t="str">
            <v>Résultat net de l'exercice</v>
          </cell>
          <cell r="C133">
            <v>-265930.26</v>
          </cell>
        </row>
        <row r="135">
          <cell r="A135" t="str">
            <v xml:space="preserve">Effet des modifications comptables </v>
          </cell>
          <cell r="C135">
            <v>0</v>
          </cell>
        </row>
        <row r="137">
          <cell r="A137" t="str">
            <v>Résultat après modifications comptables</v>
          </cell>
          <cell r="C137">
            <v>-265930.26</v>
          </cell>
        </row>
        <row r="139">
          <cell r="A139" t="str">
            <v>ETAT DE RESULTAT</v>
          </cell>
        </row>
        <row r="140">
          <cell r="A140" t="str">
            <v xml:space="preserve"> (modèle autorisé)</v>
          </cell>
        </row>
        <row r="142">
          <cell r="A142" t="str">
            <v xml:space="preserve"> (Exprimé en dinars)</v>
          </cell>
        </row>
        <row r="144">
          <cell r="C144" t="str">
            <v>Exercice 2000</v>
          </cell>
        </row>
        <row r="146">
          <cell r="A146" t="str">
            <v>Produits d'exploitation</v>
          </cell>
        </row>
        <row r="148">
          <cell r="A148" t="str">
            <v>Revenus</v>
          </cell>
          <cell r="C148">
            <v>0</v>
          </cell>
        </row>
        <row r="150">
          <cell r="A150" t="str">
            <v>Total des produits d'exploitation</v>
          </cell>
          <cell r="C150">
            <v>0</v>
          </cell>
        </row>
        <row r="152">
          <cell r="A152" t="str">
            <v>Charges d'exploitation</v>
          </cell>
        </row>
        <row r="154">
          <cell r="A154" t="str">
            <v>Achats de marchandises consommées</v>
          </cell>
          <cell r="C154">
            <v>0</v>
          </cell>
        </row>
        <row r="155">
          <cell r="A155" t="str">
            <v>Achats d'approvisionnements consommés</v>
          </cell>
          <cell r="C155">
            <v>0</v>
          </cell>
        </row>
        <row r="156">
          <cell r="A156" t="str">
            <v>Charges de personnel</v>
          </cell>
          <cell r="C156">
            <v>0</v>
          </cell>
        </row>
        <row r="157">
          <cell r="A157" t="str">
            <v>Dotations aux amortissements et aux  provisions</v>
          </cell>
          <cell r="C157">
            <v>1409.414</v>
          </cell>
        </row>
        <row r="158">
          <cell r="A158" t="str">
            <v>Autres charges d'exploitation</v>
          </cell>
          <cell r="C158">
            <v>874.46</v>
          </cell>
        </row>
        <row r="160">
          <cell r="A160" t="str">
            <v>Total des charges d'exploitation</v>
          </cell>
          <cell r="C160">
            <v>2283.8739999999998</v>
          </cell>
        </row>
        <row r="162">
          <cell r="A162" t="str">
            <v>Résultat d'exploitation</v>
          </cell>
          <cell r="C162">
            <v>-2283.8739999999998</v>
          </cell>
        </row>
        <row r="164">
          <cell r="A164" t="str">
            <v>Charges financières nettes</v>
          </cell>
          <cell r="C164">
            <v>155.10599999999999</v>
          </cell>
        </row>
        <row r="165">
          <cell r="A165" t="str">
            <v>Produits financiers</v>
          </cell>
          <cell r="C165">
            <v>0</v>
          </cell>
        </row>
        <row r="166">
          <cell r="A166" t="str">
            <v>Autres gains ordinaires</v>
          </cell>
          <cell r="C166">
            <v>11369</v>
          </cell>
        </row>
        <row r="167">
          <cell r="A167" t="str">
            <v>Autres pertes ordinaires</v>
          </cell>
          <cell r="C167">
            <v>105</v>
          </cell>
        </row>
        <row r="169">
          <cell r="A169" t="str">
            <v>Résultat des activités ordinaires avant impôt</v>
          </cell>
          <cell r="C169">
            <v>8825.02</v>
          </cell>
        </row>
        <row r="171">
          <cell r="A171" t="str">
            <v>Impôt sur les bénéfices</v>
          </cell>
          <cell r="C171">
            <v>3125.5</v>
          </cell>
        </row>
        <row r="173">
          <cell r="A173" t="str">
            <v>Résultat des activités ordinaires après impôt</v>
          </cell>
          <cell r="C173">
            <v>5699.52</v>
          </cell>
        </row>
        <row r="175">
          <cell r="A175" t="str">
            <v>Eléments extraordinaires ( Gains / Pertes )</v>
          </cell>
          <cell r="C175">
            <v>0</v>
          </cell>
        </row>
        <row r="177">
          <cell r="A177" t="str">
            <v>Résultat net de l'exercice</v>
          </cell>
          <cell r="C177">
            <v>5699.52</v>
          </cell>
        </row>
        <row r="179">
          <cell r="A179" t="str">
            <v>Résultat net de l'exercice</v>
          </cell>
          <cell r="C179">
            <v>5699.52</v>
          </cell>
        </row>
        <row r="181">
          <cell r="A181" t="str">
            <v xml:space="preserve">Effet des modifications comptables </v>
          </cell>
          <cell r="C181">
            <v>0</v>
          </cell>
        </row>
        <row r="183">
          <cell r="A183" t="str">
            <v>Résultat après modifications comptables</v>
          </cell>
          <cell r="C183">
            <v>5699.52</v>
          </cell>
        </row>
        <row r="185">
          <cell r="A185" t="str">
            <v>ETAT DE RESULTAT</v>
          </cell>
        </row>
        <row r="186">
          <cell r="A186" t="str">
            <v xml:space="preserve"> (modèle autorisé)</v>
          </cell>
        </row>
        <row r="188">
          <cell r="A188" t="str">
            <v xml:space="preserve"> (Exprimé en dinars)</v>
          </cell>
        </row>
        <row r="190">
          <cell r="C190" t="str">
            <v>Exercice 2000</v>
          </cell>
        </row>
        <row r="192">
          <cell r="A192" t="str">
            <v>Produits d'exploitation</v>
          </cell>
        </row>
        <row r="194">
          <cell r="A194" t="str">
            <v>Revenus</v>
          </cell>
          <cell r="C194">
            <v>0</v>
          </cell>
        </row>
        <row r="196">
          <cell r="A196" t="str">
            <v>Total des produits d'exploitation</v>
          </cell>
          <cell r="C196">
            <v>0</v>
          </cell>
        </row>
        <row r="198">
          <cell r="A198" t="str">
            <v>Charges d'exploitation</v>
          </cell>
        </row>
        <row r="200">
          <cell r="A200" t="str">
            <v>Achats de marchandises consommées</v>
          </cell>
          <cell r="C200">
            <v>0</v>
          </cell>
        </row>
        <row r="201">
          <cell r="A201" t="str">
            <v>Achats d'approvisionnements consommés</v>
          </cell>
          <cell r="C201">
            <v>0</v>
          </cell>
        </row>
        <row r="202">
          <cell r="A202" t="str">
            <v>Charges de personnel</v>
          </cell>
          <cell r="C202">
            <v>0</v>
          </cell>
        </row>
        <row r="203">
          <cell r="A203" t="str">
            <v>Dotations aux amortissements et aux  provisions</v>
          </cell>
          <cell r="C203">
            <v>0</v>
          </cell>
        </row>
        <row r="204">
          <cell r="A204" t="str">
            <v>Autres charges d'exploitation</v>
          </cell>
          <cell r="C204">
            <v>0</v>
          </cell>
        </row>
        <row r="206">
          <cell r="A206" t="str">
            <v>Total des charges d'exploitation</v>
          </cell>
          <cell r="C206">
            <v>0</v>
          </cell>
        </row>
        <row r="208">
          <cell r="A208" t="str">
            <v>Résultat d'exploitation</v>
          </cell>
          <cell r="C208">
            <v>0</v>
          </cell>
        </row>
        <row r="210">
          <cell r="A210" t="str">
            <v>Charges financières nettes</v>
          </cell>
          <cell r="C210">
            <v>0</v>
          </cell>
        </row>
        <row r="211">
          <cell r="A211" t="str">
            <v>Produits financiers</v>
          </cell>
          <cell r="C211">
            <v>0</v>
          </cell>
        </row>
        <row r="212">
          <cell r="A212" t="str">
            <v>Autres gains ordinaires</v>
          </cell>
          <cell r="C212">
            <v>0</v>
          </cell>
        </row>
        <row r="213">
          <cell r="A213" t="str">
            <v>Autres pertes ordinaires</v>
          </cell>
          <cell r="C213">
            <v>0</v>
          </cell>
        </row>
        <row r="215">
          <cell r="A215" t="str">
            <v>Résultat des activités ordinaires avant impôt</v>
          </cell>
          <cell r="C215">
            <v>0</v>
          </cell>
        </row>
        <row r="217">
          <cell r="A217" t="str">
            <v>Impôt sur les bénéfices</v>
          </cell>
          <cell r="C217">
            <v>0</v>
          </cell>
        </row>
        <row r="219">
          <cell r="A219" t="str">
            <v>Résultat des activités ordinaires après impôt</v>
          </cell>
          <cell r="C219">
            <v>0</v>
          </cell>
        </row>
        <row r="221">
          <cell r="A221" t="str">
            <v>Eléments extraordinaires ( Gains / Pertes )</v>
          </cell>
          <cell r="C221">
            <v>0</v>
          </cell>
        </row>
        <row r="223">
          <cell r="A223" t="str">
            <v>Résultat net de l'exercice</v>
          </cell>
          <cell r="C223">
            <v>0</v>
          </cell>
        </row>
        <row r="225">
          <cell r="A225" t="str">
            <v>Résultat net de l'exercice</v>
          </cell>
          <cell r="C225">
            <v>0</v>
          </cell>
        </row>
        <row r="227">
          <cell r="A227" t="str">
            <v xml:space="preserve">Effet des modifications comptables </v>
          </cell>
          <cell r="C227">
            <v>0</v>
          </cell>
        </row>
        <row r="229">
          <cell r="A229" t="str">
            <v>Résultat après modifications comptables</v>
          </cell>
          <cell r="C229">
            <v>0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BG.Comp"/>
      <sheetName val="P&amp;L"/>
      <sheetName val="602121"/>
      <sheetName val="Analytique 2012-11-10-09"/>
      <sheetName val="Analytique 2012-11-10-09.xlsx"/>
      <sheetName val="Analytique%202012-11-10-09.xlsx"/>
    </sheetNames>
    <definedNames>
      <definedName name="am" refersTo="#REF!"/>
      <definedName name="az" refersTo="#REF!"/>
      <definedName name="bilan" refersTo="#REF!"/>
      <definedName name="Caseàcocher10_QuandClic" refersTo="#REF!"/>
      <definedName name="Caseàcocher42_QuandClic" refersTo="#REF!"/>
      <definedName name="Charges" refersTo="#REF!"/>
      <definedName name="Choix_Imprimantes" refersTo="#REF!"/>
      <definedName name="commentaires" refersTo="#REF!"/>
      <definedName name="d" refersTo="#REF!"/>
      <definedName name="Désactiver" refersTo="#REF!"/>
      <definedName name="edition" refersTo="#REF!"/>
      <definedName name="Evolution" refersTo="#REF!"/>
      <definedName name="Financement" refersTo="#REF!"/>
      <definedName name="Garde" refersTo="#REF!"/>
      <definedName name="ImpGestion" refersTo="#REF!"/>
      <definedName name="Impression_Caseàcocher43_QuandClic" refersTo="#REF!"/>
      <definedName name="macro." refersTo="#REF!"/>
      <definedName name="Macros.bilan" refersTo="#REF!"/>
      <definedName name="Macros.Charges" refersTo="#REF!"/>
      <definedName name="Macros.Commentaires" refersTo="#REF!"/>
      <definedName name="Macros.Désactiver" refersTo="#REF!"/>
      <definedName name="Macros.Detail" refersTo="#REF!"/>
      <definedName name="Macros.Evolution" refersTo="#REF!"/>
      <definedName name="Macros.Financement" refersTo="#REF!"/>
      <definedName name="Macros.Garde" refersTo="#REF!"/>
      <definedName name="Macros.ratio1" refersTo="#REF!"/>
      <definedName name="Macros.ratio2" refersTo="#REF!"/>
      <definedName name="Macros.resultat" refersTo="#REF!"/>
      <definedName name="Macros.Retour_Menu" refersTo="#REF!"/>
      <definedName name="Macros.Saisie" refersTo="#REF!"/>
      <definedName name="Mounir" refersTo="#REF!"/>
      <definedName name="ratio1" refersTo="#REF!"/>
      <definedName name="ratio2" refersTo="#REF!"/>
      <definedName name="resultat" refersTo="#REF!"/>
      <definedName name="Retour_Menu" refersTo="#REF!"/>
      <definedName name="Saisie" refersTo="#REF!"/>
      <definedName name="Sauvegarde" refersTo="#REF!"/>
      <definedName name="select" refersTo="#REF!"/>
      <definedName name="treza" refersTo="#REF!"/>
      <definedName name="Visualiser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BALANCEAUX"/>
      <sheetName val="T9"/>
    </sheetNames>
    <sheetDataSet>
      <sheetData sheetId="0">
        <row r="2">
          <cell r="B2" t="str">
            <v>6464</v>
          </cell>
          <cell r="D2" t="str">
            <v>41100000</v>
          </cell>
        </row>
        <row r="3">
          <cell r="A3" t="str">
            <v>%</v>
          </cell>
          <cell r="B3" t="str">
            <v>CARTHAGO</v>
          </cell>
          <cell r="D3" t="str">
            <v>CLIENTS</v>
          </cell>
        </row>
        <row r="5">
          <cell r="A5">
            <v>39083</v>
          </cell>
          <cell r="B5">
            <v>39355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BILAN"/>
      <sheetName val="BALANCEAUX"/>
    </sheetNames>
    <sheetDataSet>
      <sheetData sheetId="0">
        <row r="5">
          <cell r="G5">
            <v>0</v>
          </cell>
          <cell r="P5">
            <v>-5190000</v>
          </cell>
          <cell r="Q5">
            <v>5190000</v>
          </cell>
        </row>
        <row r="6">
          <cell r="G6">
            <v>0</v>
          </cell>
          <cell r="P6">
            <v>0</v>
          </cell>
        </row>
        <row r="7">
          <cell r="G7">
            <v>0</v>
          </cell>
          <cell r="P7">
            <v>0</v>
          </cell>
        </row>
        <row r="8">
          <cell r="G8">
            <v>0</v>
          </cell>
          <cell r="P8">
            <v>1643509.8019999999</v>
          </cell>
          <cell r="Q8">
            <v>-1643509.8019999999</v>
          </cell>
        </row>
        <row r="9">
          <cell r="G9">
            <v>0</v>
          </cell>
          <cell r="P9">
            <v>0</v>
          </cell>
        </row>
        <row r="10">
          <cell r="G10">
            <v>0</v>
          </cell>
          <cell r="P10">
            <v>-3546490.1979999999</v>
          </cell>
          <cell r="Q10">
            <v>3546490.1979999999</v>
          </cell>
        </row>
        <row r="11">
          <cell r="G11">
            <v>0</v>
          </cell>
        </row>
        <row r="12">
          <cell r="G12">
            <v>0</v>
          </cell>
          <cell r="P12">
            <v>0</v>
          </cell>
          <cell r="Q12">
            <v>1031946.606</v>
          </cell>
        </row>
        <row r="13">
          <cell r="G13">
            <v>0</v>
          </cell>
          <cell r="P13">
            <v>0</v>
          </cell>
          <cell r="Q13">
            <v>0</v>
          </cell>
        </row>
        <row r="14">
          <cell r="G14">
            <v>0</v>
          </cell>
          <cell r="P14">
            <v>-3546490.1979999999</v>
          </cell>
          <cell r="Q14">
            <v>4578436.8039999995</v>
          </cell>
        </row>
        <row r="15">
          <cell r="G15">
            <v>0</v>
          </cell>
          <cell r="H15">
            <v>0</v>
          </cell>
        </row>
        <row r="16">
          <cell r="G16">
            <v>0</v>
          </cell>
          <cell r="H16">
            <v>0</v>
          </cell>
          <cell r="P16">
            <v>0</v>
          </cell>
          <cell r="Q16">
            <v>0</v>
          </cell>
        </row>
        <row r="17">
          <cell r="G17">
            <v>699095.9</v>
          </cell>
          <cell r="H17">
            <v>699095.9</v>
          </cell>
          <cell r="P17">
            <v>0</v>
          </cell>
          <cell r="Q17">
            <v>0</v>
          </cell>
        </row>
        <row r="18">
          <cell r="G18">
            <v>1301448.3370000001</v>
          </cell>
          <cell r="H18">
            <v>1301448.3370000001</v>
          </cell>
          <cell r="P18">
            <v>-1894700</v>
          </cell>
          <cell r="Q18">
            <v>1894700</v>
          </cell>
        </row>
        <row r="19">
          <cell r="G19">
            <v>-549548.90099999995</v>
          </cell>
          <cell r="H19">
            <v>-549548.90099999995</v>
          </cell>
          <cell r="P19">
            <v>0</v>
          </cell>
        </row>
        <row r="20">
          <cell r="G20">
            <v>0</v>
          </cell>
          <cell r="P20">
            <v>0</v>
          </cell>
        </row>
        <row r="21">
          <cell r="G21">
            <v>0</v>
          </cell>
        </row>
        <row r="22">
          <cell r="G22">
            <v>6592927.466</v>
          </cell>
          <cell r="H22">
            <v>6592927.466</v>
          </cell>
        </row>
        <row r="23">
          <cell r="G23">
            <v>-3377976.15</v>
          </cell>
          <cell r="H23">
            <v>-3377976.15</v>
          </cell>
          <cell r="P23">
            <v>-4030927.87</v>
          </cell>
          <cell r="Q23">
            <v>4030927.87</v>
          </cell>
        </row>
        <row r="24">
          <cell r="G24">
            <v>177235.519</v>
          </cell>
          <cell r="H24">
            <v>177235.519</v>
          </cell>
          <cell r="P24">
            <v>-185106.16800000001</v>
          </cell>
          <cell r="Q24">
            <v>185106.16800000001</v>
          </cell>
        </row>
        <row r="25">
          <cell r="G25">
            <v>-94295.8</v>
          </cell>
          <cell r="H25">
            <v>-94295.8</v>
          </cell>
          <cell r="P25">
            <v>-2282426.21</v>
          </cell>
          <cell r="Q25">
            <v>2282426.21</v>
          </cell>
        </row>
        <row r="26">
          <cell r="G26">
            <v>558559.91700000002</v>
          </cell>
          <cell r="H26">
            <v>558559.91700000002</v>
          </cell>
        </row>
        <row r="27">
          <cell r="G27">
            <v>-295293.53999999998</v>
          </cell>
          <cell r="H27">
            <v>-295293.53999999998</v>
          </cell>
          <cell r="P27">
            <v>-8393160.2479999997</v>
          </cell>
          <cell r="Q27">
            <v>8393160.2479999997</v>
          </cell>
        </row>
        <row r="28">
          <cell r="G28">
            <v>309174.09999999998</v>
          </cell>
          <cell r="H28">
            <v>309174.09999999998</v>
          </cell>
        </row>
        <row r="29">
          <cell r="G29">
            <v>-181754.42</v>
          </cell>
          <cell r="H29">
            <v>-181754.42</v>
          </cell>
        </row>
        <row r="30">
          <cell r="G30">
            <v>65150.400000000001</v>
          </cell>
          <cell r="H30">
            <v>65150.400000000001</v>
          </cell>
        </row>
        <row r="31">
          <cell r="G31">
            <v>-58934.82</v>
          </cell>
          <cell r="H31">
            <v>-58934.82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418183.08</v>
          </cell>
          <cell r="H34">
            <v>418183.08</v>
          </cell>
        </row>
        <row r="35">
          <cell r="G35">
            <v>5563971.0880000014</v>
          </cell>
          <cell r="H35">
            <v>5563971.0880000014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449150.28700000001</v>
          </cell>
          <cell r="H40">
            <v>449150.28700000001</v>
          </cell>
        </row>
        <row r="41">
          <cell r="G41">
            <v>0</v>
          </cell>
        </row>
        <row r="42">
          <cell r="G42">
            <v>41246.042999999998</v>
          </cell>
          <cell r="H42">
            <v>41246.042999999998</v>
          </cell>
        </row>
        <row r="43">
          <cell r="G43">
            <v>6849.0720000000001</v>
          </cell>
          <cell r="H43">
            <v>6849.0720000000001</v>
          </cell>
        </row>
        <row r="44">
          <cell r="G44">
            <v>0</v>
          </cell>
        </row>
        <row r="45">
          <cell r="G45">
            <v>497245.402</v>
          </cell>
          <cell r="H45">
            <v>497245.402</v>
          </cell>
        </row>
        <row r="47">
          <cell r="G47">
            <v>71387.588000000003</v>
          </cell>
          <cell r="H47">
            <v>71387.588000000003</v>
          </cell>
        </row>
        <row r="48">
          <cell r="G48">
            <v>6132604.0780000016</v>
          </cell>
          <cell r="H48">
            <v>6132604.0780000016</v>
          </cell>
        </row>
        <row r="50">
          <cell r="G50">
            <v>0</v>
          </cell>
          <cell r="H50">
            <v>0</v>
          </cell>
        </row>
        <row r="51">
          <cell r="G51">
            <v>2972969.7790000001</v>
          </cell>
          <cell r="H51">
            <v>2972969.7790000001</v>
          </cell>
        </row>
        <row r="52">
          <cell r="G52">
            <v>-213070.04199999999</v>
          </cell>
          <cell r="H52">
            <v>-213070.04199999999</v>
          </cell>
        </row>
        <row r="53">
          <cell r="G53">
            <v>2906915.8020000001</v>
          </cell>
          <cell r="H53">
            <v>2906915.8020000001</v>
          </cell>
        </row>
        <row r="54">
          <cell r="G54">
            <v>-70635.601999999999</v>
          </cell>
          <cell r="H54">
            <v>-70635.601999999999</v>
          </cell>
        </row>
        <row r="55">
          <cell r="G55">
            <v>361522.087</v>
          </cell>
          <cell r="H55">
            <v>361522.087</v>
          </cell>
        </row>
        <row r="56">
          <cell r="G56">
            <v>502105</v>
          </cell>
          <cell r="H56">
            <v>502105</v>
          </cell>
        </row>
        <row r="57">
          <cell r="G57">
            <v>0</v>
          </cell>
        </row>
        <row r="58">
          <cell r="G58">
            <v>379185.95</v>
          </cell>
          <cell r="H58">
            <v>379185.95</v>
          </cell>
        </row>
        <row r="59">
          <cell r="G59">
            <v>6838992.9740000013</v>
          </cell>
          <cell r="H59">
            <v>6838992.9740000013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des"/>
      <sheetName val="Cover"/>
      <sheetName val="HELP"/>
      <sheetName val="Sales"/>
      <sheetName val="Geo"/>
      <sheetName val="Ageing"/>
      <sheetName val="Invent."/>
      <sheetName val="F.Assets"/>
      <sheetName val="Invest."/>
      <sheetName val="Intang."/>
      <sheetName val="Equity"/>
      <sheetName val="pr_year"/>
      <sheetName val="ASCII"/>
      <sheetName val="Module1"/>
      <sheetName val="Module2"/>
      <sheetName val="Module3"/>
      <sheetName val="BILAN"/>
      <sheetName val="2004 Budget COS"/>
    </sheetNames>
    <sheetDataSet>
      <sheetData sheetId="0" refreshError="1"/>
      <sheetData sheetId="1" refreshError="1">
        <row r="21">
          <cell r="C21" t="str">
            <v>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Base."/>
      <sheetName val="Feuil1"/>
      <sheetName val="Najeh-Budget"/>
      <sheetName val="Budget"/>
      <sheetName val="Nh-Exp."/>
      <sheetName val="Efficience externe"/>
      <sheetName val="Budget Careline"/>
      <sheetName val="Budget 2006"/>
      <sheetName val="H.livrées Clients"/>
      <sheetName val="Trait."/>
      <sheetName val="AVW sans projets"/>
      <sheetName val="H. Livrèes Careline"/>
      <sheetName val="H-Exp(2005)"/>
      <sheetName val="H-Exp(2004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AB2LU"/>
      <sheetName val="Tréso"/>
      <sheetName val="TAB7"/>
      <sheetName val="PlanComptable"/>
      <sheetName val="ETAT.ACC"/>
      <sheetName val="Macros"/>
      <sheetName val="Menu"/>
      <sheetName val="ATTENTION"/>
      <sheetName val="Sauvegarde"/>
      <sheetName val="Impression"/>
      <sheetName val="BILFLU"/>
      <sheetName val="Feuil1"/>
      <sheetName val="TAB2"/>
      <sheetName val="Feuil3"/>
      <sheetName val="ComptesExclus"/>
      <sheetName val="Jointivité"/>
      <sheetName val="bilan"/>
      <sheetName val="Feuil2"/>
      <sheetName val="res auto"/>
      <sheetName val="TAB4"/>
      <sheetName val="TAB4LU"/>
      <sheetName val="TAB6"/>
      <sheetName val="TAB8"/>
      <sheetName val="Affectation Etat de flux"/>
      <sheetName val="EcrituresAux"/>
    </sheetNames>
    <sheetDataSet>
      <sheetData sheetId="0">
        <row r="8">
          <cell r="F8">
            <v>1</v>
          </cell>
          <cell r="G8">
            <v>2</v>
          </cell>
        </row>
      </sheetData>
      <sheetData sheetId="1" refreshError="1">
        <row r="5">
          <cell r="B5" t="str">
            <v>06/1997</v>
          </cell>
        </row>
      </sheetData>
      <sheetData sheetId="2">
        <row r="1">
          <cell r="A1" t="e">
            <v>#N/A</v>
          </cell>
        </row>
        <row r="3">
          <cell r="A3" t="str">
            <v>Tableau de passage des charges par detination aux charges par nature</v>
          </cell>
        </row>
        <row r="4">
          <cell r="A4" t="str">
            <v xml:space="preserve"> (Exprimé en dinars)</v>
          </cell>
        </row>
        <row r="9">
          <cell r="A9" t="str">
            <v>NUMERO</v>
          </cell>
        </row>
        <row r="10">
          <cell r="A10" t="str">
            <v>DES</v>
          </cell>
        </row>
        <row r="11">
          <cell r="A11" t="str">
            <v>COMPTES</v>
          </cell>
        </row>
        <row r="12">
          <cell r="A12" t="str">
            <v>101100</v>
          </cell>
        </row>
        <row r="13">
          <cell r="A13" t="str">
            <v>101200</v>
          </cell>
        </row>
        <row r="14">
          <cell r="A14" t="str">
            <v>101310</v>
          </cell>
        </row>
        <row r="15">
          <cell r="A15" t="str">
            <v>101320</v>
          </cell>
        </row>
        <row r="16">
          <cell r="A16" t="str">
            <v>101800</v>
          </cell>
        </row>
        <row r="17">
          <cell r="A17" t="str">
            <v>105000</v>
          </cell>
        </row>
        <row r="18">
          <cell r="A18" t="str">
            <v>108000</v>
          </cell>
        </row>
        <row r="19">
          <cell r="A19" t="str">
            <v>109000</v>
          </cell>
        </row>
        <row r="20">
          <cell r="A20" t="str">
            <v>111000</v>
          </cell>
        </row>
        <row r="21">
          <cell r="A21" t="str">
            <v>112000</v>
          </cell>
        </row>
        <row r="22">
          <cell r="A22" t="str">
            <v>117100</v>
          </cell>
        </row>
        <row r="23">
          <cell r="A23" t="str">
            <v>117200</v>
          </cell>
        </row>
        <row r="24">
          <cell r="A24" t="str">
            <v>117300</v>
          </cell>
        </row>
        <row r="25">
          <cell r="A25" t="str">
            <v>117400</v>
          </cell>
        </row>
        <row r="26">
          <cell r="A26" t="str">
            <v>117800</v>
          </cell>
        </row>
        <row r="27">
          <cell r="A27" t="str">
            <v>118100</v>
          </cell>
        </row>
        <row r="28">
          <cell r="A28" t="str">
            <v>119000</v>
          </cell>
        </row>
        <row r="29">
          <cell r="A29" t="str">
            <v>121000</v>
          </cell>
        </row>
        <row r="30">
          <cell r="A30" t="str">
            <v>128000</v>
          </cell>
        </row>
        <row r="31">
          <cell r="A31" t="str">
            <v>131000</v>
          </cell>
        </row>
        <row r="32">
          <cell r="A32" t="str">
            <v>135000</v>
          </cell>
        </row>
        <row r="33">
          <cell r="A33" t="str">
            <v>141000</v>
          </cell>
        </row>
        <row r="34">
          <cell r="A34" t="str">
            <v>142100</v>
          </cell>
        </row>
        <row r="35">
          <cell r="A35" t="str">
            <v>143000</v>
          </cell>
        </row>
        <row r="36">
          <cell r="A36" t="str">
            <v>144000</v>
          </cell>
        </row>
        <row r="37">
          <cell r="A37" t="str">
            <v>145100</v>
          </cell>
        </row>
        <row r="38">
          <cell r="A38" t="str">
            <v>145800</v>
          </cell>
        </row>
        <row r="39">
          <cell r="A39" t="str">
            <v>145900</v>
          </cell>
        </row>
        <row r="40">
          <cell r="A40" t="str">
            <v>147000</v>
          </cell>
        </row>
        <row r="41">
          <cell r="A41" t="str">
            <v>151100</v>
          </cell>
        </row>
        <row r="42">
          <cell r="A42" t="str">
            <v>151200</v>
          </cell>
        </row>
        <row r="43">
          <cell r="A43" t="str">
            <v>151300</v>
          </cell>
        </row>
        <row r="44">
          <cell r="A44" t="str">
            <v>151400</v>
          </cell>
        </row>
        <row r="45">
          <cell r="A45" t="str">
            <v>151500</v>
          </cell>
        </row>
        <row r="46">
          <cell r="A46" t="str">
            <v>151800</v>
          </cell>
        </row>
        <row r="47">
          <cell r="A47" t="str">
            <v>152200</v>
          </cell>
        </row>
        <row r="48">
          <cell r="A48" t="str">
            <v>153000</v>
          </cell>
        </row>
        <row r="49">
          <cell r="A49" t="str">
            <v>154000</v>
          </cell>
        </row>
        <row r="50">
          <cell r="A50" t="str">
            <v>155000</v>
          </cell>
        </row>
        <row r="51">
          <cell r="A51" t="str">
            <v>156000</v>
          </cell>
        </row>
        <row r="52">
          <cell r="A52" t="str">
            <v>157000</v>
          </cell>
        </row>
        <row r="53">
          <cell r="A53" t="str">
            <v>158000</v>
          </cell>
        </row>
        <row r="54">
          <cell r="A54" t="str">
            <v>161100</v>
          </cell>
        </row>
        <row r="55">
          <cell r="A55" t="str">
            <v>161800</v>
          </cell>
        </row>
        <row r="56">
          <cell r="A56" t="str">
            <v>162100</v>
          </cell>
        </row>
        <row r="57">
          <cell r="A57" t="str">
            <v>162600</v>
          </cell>
        </row>
        <row r="58">
          <cell r="A58" t="str">
            <v>163000</v>
          </cell>
        </row>
        <row r="59">
          <cell r="A59" t="str">
            <v>164100</v>
          </cell>
        </row>
        <row r="60">
          <cell r="A60" t="str">
            <v>164200</v>
          </cell>
        </row>
        <row r="61">
          <cell r="A61" t="str">
            <v>164400</v>
          </cell>
        </row>
        <row r="62">
          <cell r="A62" t="str">
            <v>165000</v>
          </cell>
        </row>
        <row r="63">
          <cell r="A63" t="str">
            <v>166100</v>
          </cell>
        </row>
        <row r="64">
          <cell r="A64" t="str">
            <v>166200</v>
          </cell>
        </row>
        <row r="65">
          <cell r="A65" t="str">
            <v>166300</v>
          </cell>
        </row>
        <row r="66">
          <cell r="A66" t="str">
            <v>167000</v>
          </cell>
        </row>
        <row r="67">
          <cell r="A67" t="str">
            <v>168100</v>
          </cell>
        </row>
        <row r="68">
          <cell r="A68" t="str">
            <v>168500</v>
          </cell>
        </row>
        <row r="69">
          <cell r="A69" t="str">
            <v>168800</v>
          </cell>
        </row>
        <row r="70">
          <cell r="A70" t="str">
            <v>171000</v>
          </cell>
        </row>
        <row r="71">
          <cell r="A71" t="str">
            <v>176000</v>
          </cell>
        </row>
        <row r="72">
          <cell r="A72" t="str">
            <v>177000</v>
          </cell>
        </row>
        <row r="73">
          <cell r="A73" t="str">
            <v>185000</v>
          </cell>
        </row>
        <row r="74">
          <cell r="A74" t="str">
            <v>188000</v>
          </cell>
        </row>
        <row r="75">
          <cell r="A75" t="str">
            <v>211000</v>
          </cell>
        </row>
        <row r="76">
          <cell r="A76" t="str">
            <v>212000</v>
          </cell>
        </row>
        <row r="77">
          <cell r="A77" t="str">
            <v>213000</v>
          </cell>
        </row>
        <row r="78">
          <cell r="A78" t="str">
            <v>214000</v>
          </cell>
        </row>
        <row r="79">
          <cell r="A79" t="str">
            <v>216000</v>
          </cell>
        </row>
        <row r="80">
          <cell r="A80" t="str">
            <v>218000</v>
          </cell>
        </row>
        <row r="81">
          <cell r="A81" t="str">
            <v>221300</v>
          </cell>
        </row>
        <row r="82">
          <cell r="A82" t="str">
            <v>221400</v>
          </cell>
        </row>
        <row r="83">
          <cell r="A83" t="str">
            <v>221500</v>
          </cell>
        </row>
        <row r="84">
          <cell r="A84" t="str">
            <v>221600</v>
          </cell>
        </row>
        <row r="85">
          <cell r="A85" t="str">
            <v>222100</v>
          </cell>
        </row>
        <row r="86">
          <cell r="A86" t="str">
            <v>222500</v>
          </cell>
        </row>
        <row r="87">
          <cell r="A87" t="str">
            <v>222600</v>
          </cell>
        </row>
        <row r="88">
          <cell r="A88" t="str">
            <v>222700</v>
          </cell>
        </row>
        <row r="89">
          <cell r="A89" t="str">
            <v>223100</v>
          </cell>
        </row>
        <row r="90">
          <cell r="A90" t="str">
            <v>223400</v>
          </cell>
        </row>
        <row r="91">
          <cell r="A91" t="str">
            <v>223500</v>
          </cell>
        </row>
        <row r="92">
          <cell r="A92" t="str">
            <v>223700</v>
          </cell>
        </row>
        <row r="93">
          <cell r="A93" t="str">
            <v>224100</v>
          </cell>
        </row>
        <row r="94">
          <cell r="A94" t="str">
            <v>224400</v>
          </cell>
        </row>
        <row r="95">
          <cell r="A95" t="str">
            <v>228100</v>
          </cell>
        </row>
        <row r="96">
          <cell r="A96" t="str">
            <v>228200</v>
          </cell>
        </row>
        <row r="97">
          <cell r="A97" t="str">
            <v>228600</v>
          </cell>
        </row>
        <row r="98">
          <cell r="A98" t="str">
            <v>231000</v>
          </cell>
        </row>
        <row r="99">
          <cell r="A99" t="str">
            <v>232000</v>
          </cell>
        </row>
        <row r="100">
          <cell r="A100" t="str">
            <v>237000</v>
          </cell>
        </row>
        <row r="101">
          <cell r="A101" t="str">
            <v>238000</v>
          </cell>
        </row>
        <row r="102">
          <cell r="A102" t="str">
            <v>240000</v>
          </cell>
        </row>
        <row r="103">
          <cell r="A103" t="str">
            <v>251100</v>
          </cell>
        </row>
        <row r="104">
          <cell r="A104" t="str">
            <v>251800</v>
          </cell>
        </row>
        <row r="105">
          <cell r="A105" t="str">
            <v>256000</v>
          </cell>
        </row>
        <row r="106">
          <cell r="A106" t="str">
            <v>257100</v>
          </cell>
        </row>
        <row r="107">
          <cell r="A107" t="str">
            <v>257400</v>
          </cell>
        </row>
        <row r="108">
          <cell r="A108" t="str">
            <v>257500</v>
          </cell>
        </row>
        <row r="109">
          <cell r="A109" t="str">
            <v>257600</v>
          </cell>
        </row>
        <row r="110">
          <cell r="A110" t="str">
            <v>257700</v>
          </cell>
        </row>
        <row r="111">
          <cell r="A111" t="str">
            <v>258000</v>
          </cell>
        </row>
        <row r="112">
          <cell r="A112" t="str">
            <v>259000</v>
          </cell>
        </row>
        <row r="113">
          <cell r="A113" t="str">
            <v>261100</v>
          </cell>
        </row>
        <row r="114">
          <cell r="A114" t="str">
            <v>261800</v>
          </cell>
        </row>
        <row r="115">
          <cell r="A115" t="str">
            <v>262100</v>
          </cell>
        </row>
        <row r="116">
          <cell r="A116" t="str">
            <v>262200</v>
          </cell>
        </row>
        <row r="117">
          <cell r="A117" t="str">
            <v>264100</v>
          </cell>
        </row>
        <row r="118">
          <cell r="A118" t="str">
            <v>264200</v>
          </cell>
        </row>
        <row r="119">
          <cell r="A119" t="str">
            <v>264300</v>
          </cell>
        </row>
        <row r="120">
          <cell r="A120" t="str">
            <v>264500</v>
          </cell>
        </row>
        <row r="121">
          <cell r="A121" t="str">
            <v>264800</v>
          </cell>
        </row>
        <row r="122">
          <cell r="A122" t="str">
            <v>265100</v>
          </cell>
        </row>
        <row r="123">
          <cell r="A123" t="str">
            <v>265500</v>
          </cell>
        </row>
        <row r="124">
          <cell r="A124" t="str">
            <v>265600</v>
          </cell>
        </row>
        <row r="125">
          <cell r="A125" t="str">
            <v>265800</v>
          </cell>
        </row>
        <row r="126">
          <cell r="A126" t="str">
            <v>266100</v>
          </cell>
        </row>
        <row r="127">
          <cell r="A127" t="str">
            <v>266700</v>
          </cell>
        </row>
        <row r="128">
          <cell r="A128" t="str">
            <v>266800</v>
          </cell>
        </row>
        <row r="129">
          <cell r="A129" t="str">
            <v>269000</v>
          </cell>
        </row>
        <row r="130">
          <cell r="A130" t="str">
            <v>271000</v>
          </cell>
        </row>
        <row r="131">
          <cell r="A131" t="str">
            <v>272000</v>
          </cell>
        </row>
        <row r="132">
          <cell r="A132" t="str">
            <v>273000</v>
          </cell>
        </row>
        <row r="133">
          <cell r="A133" t="str">
            <v>275000</v>
          </cell>
        </row>
        <row r="134">
          <cell r="A134" t="str">
            <v>278000</v>
          </cell>
        </row>
        <row r="135">
          <cell r="A135" t="str">
            <v>281000</v>
          </cell>
        </row>
        <row r="136">
          <cell r="A136" t="str">
            <v>282000</v>
          </cell>
        </row>
        <row r="137">
          <cell r="A137" t="str">
            <v>284000</v>
          </cell>
        </row>
        <row r="138">
          <cell r="A138" t="str">
            <v>291000</v>
          </cell>
        </row>
        <row r="139">
          <cell r="A139" t="str">
            <v>292000</v>
          </cell>
        </row>
        <row r="140">
          <cell r="A140" t="str">
            <v>293000</v>
          </cell>
        </row>
        <row r="141">
          <cell r="A141" t="str">
            <v>294000</v>
          </cell>
        </row>
        <row r="142">
          <cell r="A142" t="str">
            <v>295000</v>
          </cell>
        </row>
        <row r="143">
          <cell r="A143" t="str">
            <v>297000</v>
          </cell>
        </row>
        <row r="144">
          <cell r="A144" t="str">
            <v>311000</v>
          </cell>
        </row>
        <row r="145">
          <cell r="A145" t="str">
            <v>313000</v>
          </cell>
        </row>
        <row r="146">
          <cell r="A146" t="str">
            <v>317000</v>
          </cell>
        </row>
        <row r="147">
          <cell r="A147" t="str">
            <v>321000</v>
          </cell>
        </row>
        <row r="148">
          <cell r="A148" t="str">
            <v>322000</v>
          </cell>
        </row>
        <row r="149">
          <cell r="A149" t="str">
            <v>326000</v>
          </cell>
        </row>
        <row r="150">
          <cell r="A150" t="str">
            <v>327000</v>
          </cell>
        </row>
        <row r="151">
          <cell r="A151" t="str">
            <v>331000</v>
          </cell>
        </row>
        <row r="152">
          <cell r="A152" t="str">
            <v>335000</v>
          </cell>
        </row>
        <row r="153">
          <cell r="A153" t="str">
            <v>341000</v>
          </cell>
        </row>
        <row r="154">
          <cell r="A154" t="str">
            <v>345000</v>
          </cell>
        </row>
        <row r="155">
          <cell r="A155" t="str">
            <v>351000</v>
          </cell>
        </row>
        <row r="156">
          <cell r="A156" t="str">
            <v>355000</v>
          </cell>
        </row>
        <row r="157">
          <cell r="A157" t="str">
            <v>357000</v>
          </cell>
        </row>
        <row r="158">
          <cell r="A158" t="str">
            <v>370000</v>
          </cell>
        </row>
        <row r="159">
          <cell r="A159" t="str">
            <v>390000</v>
          </cell>
        </row>
        <row r="160">
          <cell r="A160" t="str">
            <v>401100</v>
          </cell>
        </row>
        <row r="161">
          <cell r="A161" t="str">
            <v>401700</v>
          </cell>
        </row>
        <row r="162">
          <cell r="A162" t="str">
            <v>403000</v>
          </cell>
        </row>
        <row r="163">
          <cell r="A163" t="str">
            <v>404100</v>
          </cell>
        </row>
        <row r="164">
          <cell r="A164" t="str">
            <v>404700</v>
          </cell>
        </row>
        <row r="165">
          <cell r="A165" t="str">
            <v>405000</v>
          </cell>
        </row>
        <row r="166">
          <cell r="A166" t="str">
            <v>408100</v>
          </cell>
        </row>
        <row r="167">
          <cell r="A167" t="str">
            <v>408400</v>
          </cell>
        </row>
        <row r="168">
          <cell r="A168" t="str">
            <v>408800</v>
          </cell>
        </row>
        <row r="169">
          <cell r="A169" t="str">
            <v>409100</v>
          </cell>
        </row>
        <row r="170">
          <cell r="A170" t="str">
            <v>409600</v>
          </cell>
        </row>
        <row r="171">
          <cell r="A171" t="str">
            <v>409710</v>
          </cell>
        </row>
        <row r="172">
          <cell r="A172" t="str">
            <v>409740</v>
          </cell>
        </row>
        <row r="173">
          <cell r="A173" t="str">
            <v>409800</v>
          </cell>
        </row>
        <row r="174">
          <cell r="A174" t="str">
            <v>411100</v>
          </cell>
        </row>
        <row r="175">
          <cell r="A175" t="str">
            <v>411700</v>
          </cell>
        </row>
        <row r="176">
          <cell r="A176" t="str">
            <v>413000</v>
          </cell>
        </row>
        <row r="177">
          <cell r="A177" t="str">
            <v>416000</v>
          </cell>
        </row>
        <row r="178">
          <cell r="A178" t="str">
            <v>417000</v>
          </cell>
        </row>
        <row r="179">
          <cell r="A179" t="str">
            <v>418100</v>
          </cell>
        </row>
        <row r="180">
          <cell r="A180" t="str">
            <v>418800</v>
          </cell>
        </row>
        <row r="181">
          <cell r="A181" t="str">
            <v>419100</v>
          </cell>
        </row>
        <row r="182">
          <cell r="A182" t="str">
            <v>419600</v>
          </cell>
        </row>
        <row r="183">
          <cell r="A183" t="str">
            <v>419700</v>
          </cell>
        </row>
        <row r="184">
          <cell r="A184" t="str">
            <v>419800</v>
          </cell>
        </row>
        <row r="185">
          <cell r="A185" t="str">
            <v>421000</v>
          </cell>
        </row>
        <row r="186">
          <cell r="A186" t="str">
            <v>422000</v>
          </cell>
        </row>
        <row r="187">
          <cell r="A187" t="str">
            <v>423000</v>
          </cell>
        </row>
        <row r="188">
          <cell r="A188" t="str">
            <v>425000</v>
          </cell>
        </row>
        <row r="189">
          <cell r="A189" t="str">
            <v>426000</v>
          </cell>
        </row>
        <row r="190">
          <cell r="A190" t="str">
            <v>427000</v>
          </cell>
        </row>
        <row r="191">
          <cell r="A191" t="str">
            <v>428200</v>
          </cell>
        </row>
        <row r="192">
          <cell r="A192" t="str">
            <v>428600</v>
          </cell>
        </row>
        <row r="193">
          <cell r="A193" t="str">
            <v>428700</v>
          </cell>
        </row>
        <row r="194">
          <cell r="A194" t="str">
            <v>431000</v>
          </cell>
        </row>
        <row r="195">
          <cell r="A195" t="str">
            <v>432000</v>
          </cell>
        </row>
        <row r="196">
          <cell r="A196" t="str">
            <v>433000</v>
          </cell>
        </row>
        <row r="197">
          <cell r="A197" t="str">
            <v>434100</v>
          </cell>
        </row>
        <row r="198">
          <cell r="A198" t="str">
            <v>434200</v>
          </cell>
        </row>
        <row r="199">
          <cell r="A199" t="str">
            <v>434300</v>
          </cell>
        </row>
        <row r="200">
          <cell r="A200" t="str">
            <v>434900</v>
          </cell>
        </row>
        <row r="201">
          <cell r="A201" t="str">
            <v>435000</v>
          </cell>
        </row>
        <row r="202">
          <cell r="A202" t="str">
            <v>436510</v>
          </cell>
        </row>
        <row r="203">
          <cell r="A203" t="str">
            <v>436580</v>
          </cell>
        </row>
        <row r="204">
          <cell r="A204" t="str">
            <v>436620</v>
          </cell>
        </row>
        <row r="205">
          <cell r="A205" t="str">
            <v>436630</v>
          </cell>
        </row>
        <row r="206">
          <cell r="A206" t="str">
            <v>436660</v>
          </cell>
        </row>
        <row r="207">
          <cell r="A207" t="str">
            <v>436670</v>
          </cell>
        </row>
        <row r="208">
          <cell r="A208" t="str">
            <v>436680</v>
          </cell>
        </row>
        <row r="209">
          <cell r="A209" t="str">
            <v>436711</v>
          </cell>
        </row>
        <row r="210">
          <cell r="A210" t="str">
            <v>436712</v>
          </cell>
        </row>
        <row r="211">
          <cell r="A211" t="str">
            <v>436780</v>
          </cell>
        </row>
        <row r="212">
          <cell r="A212" t="str">
            <v>436800</v>
          </cell>
        </row>
        <row r="213">
          <cell r="A213" t="str">
            <v>437000</v>
          </cell>
        </row>
        <row r="214">
          <cell r="A214" t="str">
            <v>438200</v>
          </cell>
        </row>
        <row r="215">
          <cell r="A215" t="str">
            <v>438600</v>
          </cell>
        </row>
        <row r="216">
          <cell r="A216" t="str">
            <v>438700</v>
          </cell>
        </row>
        <row r="217">
          <cell r="A217" t="str">
            <v>441100</v>
          </cell>
        </row>
        <row r="218">
          <cell r="A218" t="str">
            <v>441200</v>
          </cell>
        </row>
        <row r="219">
          <cell r="A219" t="str">
            <v>442100</v>
          </cell>
        </row>
        <row r="220">
          <cell r="A220" t="str">
            <v>442800</v>
          </cell>
        </row>
        <row r="221">
          <cell r="A221" t="str">
            <v>446000</v>
          </cell>
        </row>
        <row r="222">
          <cell r="A222" t="str">
            <v>447000</v>
          </cell>
        </row>
        <row r="223">
          <cell r="A223" t="str">
            <v>448100</v>
          </cell>
        </row>
        <row r="224">
          <cell r="A224" t="str">
            <v>448800</v>
          </cell>
        </row>
        <row r="225">
          <cell r="A225" t="str">
            <v>452000</v>
          </cell>
        </row>
        <row r="226">
          <cell r="A226" t="str">
            <v>453110</v>
          </cell>
        </row>
        <row r="227">
          <cell r="A227" t="str">
            <v>453180</v>
          </cell>
        </row>
        <row r="228">
          <cell r="A228" t="str">
            <v>453820</v>
          </cell>
        </row>
        <row r="229">
          <cell r="A229" t="str">
            <v>453860</v>
          </cell>
        </row>
        <row r="230">
          <cell r="A230" t="str">
            <v>453870</v>
          </cell>
        </row>
        <row r="231">
          <cell r="A231" t="str">
            <v>454000</v>
          </cell>
        </row>
        <row r="232">
          <cell r="A232" t="str">
            <v>455000</v>
          </cell>
        </row>
        <row r="233">
          <cell r="A233" t="str">
            <v>457000</v>
          </cell>
        </row>
        <row r="234">
          <cell r="A234" t="str">
            <v>458600</v>
          </cell>
        </row>
        <row r="235">
          <cell r="A235" t="str">
            <v>458700</v>
          </cell>
        </row>
        <row r="236">
          <cell r="A236" t="str">
            <v>461000</v>
          </cell>
        </row>
        <row r="237">
          <cell r="A237" t="str">
            <v>465100</v>
          </cell>
        </row>
        <row r="238">
          <cell r="A238" t="str">
            <v>465200</v>
          </cell>
        </row>
        <row r="239">
          <cell r="A239" t="str">
            <v>468000</v>
          </cell>
        </row>
        <row r="240">
          <cell r="A240" t="str">
            <v>471000</v>
          </cell>
        </row>
        <row r="241">
          <cell r="A241" t="str">
            <v>472000</v>
          </cell>
        </row>
        <row r="242">
          <cell r="A242" t="str">
            <v>478600</v>
          </cell>
        </row>
        <row r="243">
          <cell r="A243" t="str">
            <v>478700</v>
          </cell>
        </row>
        <row r="244">
          <cell r="A244" t="str">
            <v>480000</v>
          </cell>
        </row>
        <row r="245">
          <cell r="A245" t="str">
            <v>491000</v>
          </cell>
        </row>
        <row r="246">
          <cell r="A246" t="str">
            <v>495100</v>
          </cell>
        </row>
        <row r="247">
          <cell r="A247" t="str">
            <v>495200</v>
          </cell>
        </row>
        <row r="248">
          <cell r="A248" t="str">
            <v>495800</v>
          </cell>
        </row>
        <row r="249">
          <cell r="A249" t="str">
            <v>496200</v>
          </cell>
        </row>
        <row r="250">
          <cell r="A250" t="str">
            <v>496500</v>
          </cell>
        </row>
        <row r="251">
          <cell r="A251" t="str">
            <v>496700</v>
          </cell>
        </row>
        <row r="252">
          <cell r="A252" t="str">
            <v>501000</v>
          </cell>
        </row>
        <row r="253">
          <cell r="A253" t="str">
            <v>505000</v>
          </cell>
        </row>
        <row r="254">
          <cell r="A254" t="str">
            <v>506100</v>
          </cell>
        </row>
        <row r="255">
          <cell r="A255" t="str">
            <v>506300</v>
          </cell>
        </row>
        <row r="256">
          <cell r="A256" t="str">
            <v>506700</v>
          </cell>
        </row>
        <row r="257">
          <cell r="A257" t="str">
            <v>507000</v>
          </cell>
        </row>
        <row r="258">
          <cell r="A258" t="str">
            <v>508000</v>
          </cell>
        </row>
        <row r="259">
          <cell r="A259" t="str">
            <v>511000</v>
          </cell>
        </row>
        <row r="260">
          <cell r="A260" t="str">
            <v>516000</v>
          </cell>
        </row>
        <row r="261">
          <cell r="A261" t="str">
            <v>517000</v>
          </cell>
        </row>
        <row r="262">
          <cell r="A262" t="str">
            <v>518000</v>
          </cell>
        </row>
        <row r="263">
          <cell r="A263" t="str">
            <v>523100</v>
          </cell>
        </row>
        <row r="264">
          <cell r="A264" t="str">
            <v>523500</v>
          </cell>
        </row>
        <row r="265">
          <cell r="A265" t="str">
            <v>524000</v>
          </cell>
        </row>
        <row r="266">
          <cell r="A266" t="str">
            <v>525000</v>
          </cell>
        </row>
        <row r="267">
          <cell r="A267" t="str">
            <v>526100</v>
          </cell>
        </row>
        <row r="268">
          <cell r="A268" t="str">
            <v>526500</v>
          </cell>
        </row>
        <row r="269">
          <cell r="A269" t="str">
            <v>526600</v>
          </cell>
        </row>
        <row r="270">
          <cell r="A270" t="str">
            <v>527000</v>
          </cell>
        </row>
        <row r="271">
          <cell r="A271" t="str">
            <v>528100</v>
          </cell>
        </row>
        <row r="272">
          <cell r="A272" t="str">
            <v>528800</v>
          </cell>
        </row>
        <row r="273">
          <cell r="A273" t="str">
            <v>529000</v>
          </cell>
        </row>
        <row r="274">
          <cell r="A274" t="str">
            <v>531100</v>
          </cell>
        </row>
        <row r="275">
          <cell r="A275" t="str">
            <v>531200</v>
          </cell>
        </row>
        <row r="276">
          <cell r="A276" t="str">
            <v>531300</v>
          </cell>
        </row>
        <row r="277">
          <cell r="A277" t="str">
            <v>531400</v>
          </cell>
        </row>
        <row r="278">
          <cell r="A278" t="str">
            <v>532100</v>
          </cell>
        </row>
        <row r="279">
          <cell r="A279" t="str">
            <v>532400</v>
          </cell>
        </row>
        <row r="280">
          <cell r="A280" t="str">
            <v>534000</v>
          </cell>
        </row>
        <row r="281">
          <cell r="A281" t="str">
            <v>535000</v>
          </cell>
        </row>
        <row r="282">
          <cell r="A282" t="str">
            <v>537000</v>
          </cell>
        </row>
        <row r="283">
          <cell r="A283" t="str">
            <v>541100</v>
          </cell>
        </row>
        <row r="284">
          <cell r="A284" t="str">
            <v>541400</v>
          </cell>
        </row>
        <row r="285">
          <cell r="A285" t="str">
            <v>542000</v>
          </cell>
        </row>
        <row r="286">
          <cell r="A286" t="str">
            <v>550000</v>
          </cell>
        </row>
        <row r="287">
          <cell r="A287" t="str">
            <v>580000</v>
          </cell>
        </row>
        <row r="288">
          <cell r="A288" t="str">
            <v>590000</v>
          </cell>
        </row>
        <row r="289">
          <cell r="A289" t="str">
            <v>601000</v>
          </cell>
        </row>
        <row r="290">
          <cell r="A290" t="str">
            <v>602100</v>
          </cell>
        </row>
        <row r="291">
          <cell r="A291" t="str">
            <v>602200</v>
          </cell>
        </row>
        <row r="292">
          <cell r="A292" t="str">
            <v>602600</v>
          </cell>
        </row>
        <row r="293">
          <cell r="A293" t="str">
            <v>603100</v>
          </cell>
        </row>
        <row r="294">
          <cell r="A294" t="str">
            <v>603200</v>
          </cell>
        </row>
        <row r="295">
          <cell r="A295" t="str">
            <v>603700</v>
          </cell>
        </row>
        <row r="296">
          <cell r="A296" t="str">
            <v>604000</v>
          </cell>
        </row>
        <row r="297">
          <cell r="A297" t="str">
            <v>605000</v>
          </cell>
        </row>
        <row r="298">
          <cell r="A298" t="str">
            <v>606000</v>
          </cell>
        </row>
        <row r="299">
          <cell r="A299" t="str">
            <v>607000</v>
          </cell>
        </row>
        <row r="300">
          <cell r="A300" t="str">
            <v>608000</v>
          </cell>
        </row>
        <row r="301">
          <cell r="A301" t="str">
            <v>609800</v>
          </cell>
        </row>
        <row r="302">
          <cell r="A302" t="str">
            <v>611000</v>
          </cell>
        </row>
        <row r="303">
          <cell r="A303" t="str">
            <v>612000</v>
          </cell>
        </row>
        <row r="304">
          <cell r="A304" t="str">
            <v>613000</v>
          </cell>
        </row>
        <row r="305">
          <cell r="A305" t="str">
            <v>614000</v>
          </cell>
        </row>
        <row r="306">
          <cell r="A306" t="str">
            <v>615000</v>
          </cell>
        </row>
        <row r="307">
          <cell r="A307" t="str">
            <v>616000</v>
          </cell>
        </row>
        <row r="308">
          <cell r="A308" t="str">
            <v>617000</v>
          </cell>
        </row>
        <row r="309">
          <cell r="A309" t="str">
            <v>618000</v>
          </cell>
        </row>
        <row r="310">
          <cell r="A310" t="str">
            <v>619000</v>
          </cell>
        </row>
        <row r="311">
          <cell r="A311" t="str">
            <v>621000</v>
          </cell>
        </row>
        <row r="312">
          <cell r="A312" t="str">
            <v>622000</v>
          </cell>
        </row>
        <row r="313">
          <cell r="A313" t="str">
            <v>623000</v>
          </cell>
        </row>
        <row r="314">
          <cell r="A314" t="str">
            <v>624100</v>
          </cell>
        </row>
        <row r="315">
          <cell r="A315" t="str">
            <v>624200</v>
          </cell>
        </row>
        <row r="316">
          <cell r="A316" t="str">
            <v>624400</v>
          </cell>
        </row>
        <row r="317">
          <cell r="A317" t="str">
            <v>624700</v>
          </cell>
        </row>
        <row r="318">
          <cell r="A318" t="str">
            <v>624800</v>
          </cell>
        </row>
        <row r="319">
          <cell r="A319" t="str">
            <v>625100</v>
          </cell>
        </row>
        <row r="320">
          <cell r="A320" t="str">
            <v>625500</v>
          </cell>
        </row>
        <row r="321">
          <cell r="A321" t="str">
            <v>625600</v>
          </cell>
        </row>
        <row r="322">
          <cell r="A322" t="str">
            <v>625700</v>
          </cell>
        </row>
        <row r="323">
          <cell r="A323" t="str">
            <v>626000</v>
          </cell>
        </row>
        <row r="324">
          <cell r="A324" t="str">
            <v>627100</v>
          </cell>
        </row>
        <row r="325">
          <cell r="A325" t="str">
            <v>627200</v>
          </cell>
        </row>
        <row r="326">
          <cell r="A326" t="str">
            <v>627500</v>
          </cell>
        </row>
        <row r="327">
          <cell r="A327" t="str">
            <v>627600</v>
          </cell>
        </row>
        <row r="328">
          <cell r="A328" t="str">
            <v>627800</v>
          </cell>
        </row>
        <row r="329">
          <cell r="A329" t="str">
            <v>628000</v>
          </cell>
        </row>
        <row r="330">
          <cell r="A330" t="str">
            <v>629000</v>
          </cell>
        </row>
        <row r="331">
          <cell r="A331" t="str">
            <v>631000</v>
          </cell>
        </row>
        <row r="332">
          <cell r="A332" t="str">
            <v>633000</v>
          </cell>
        </row>
        <row r="333">
          <cell r="A333" t="str">
            <v>634100</v>
          </cell>
        </row>
        <row r="334">
          <cell r="A334" t="str">
            <v>634400</v>
          </cell>
        </row>
        <row r="335">
          <cell r="A335" t="str">
            <v>635100</v>
          </cell>
        </row>
        <row r="336">
          <cell r="A336" t="str">
            <v>635500</v>
          </cell>
        </row>
        <row r="337">
          <cell r="A337" t="str">
            <v>636000</v>
          </cell>
        </row>
        <row r="338">
          <cell r="A338" t="str">
            <v>637000</v>
          </cell>
        </row>
        <row r="339">
          <cell r="A339" t="str">
            <v>638000</v>
          </cell>
        </row>
        <row r="340">
          <cell r="A340" t="str">
            <v>640000</v>
          </cell>
        </row>
        <row r="341">
          <cell r="A341" t="str">
            <v>640100</v>
          </cell>
        </row>
        <row r="342">
          <cell r="A342" t="str">
            <v>640200</v>
          </cell>
        </row>
        <row r="343">
          <cell r="A343" t="str">
            <v>640300</v>
          </cell>
        </row>
        <row r="344">
          <cell r="A344" t="str">
            <v>640400</v>
          </cell>
        </row>
        <row r="345">
          <cell r="A345" t="str">
            <v>640900</v>
          </cell>
        </row>
        <row r="346">
          <cell r="A346" t="str">
            <v>642000</v>
          </cell>
        </row>
        <row r="347">
          <cell r="A347" t="str">
            <v>642100</v>
          </cell>
        </row>
        <row r="348">
          <cell r="A348" t="str">
            <v>642200</v>
          </cell>
        </row>
        <row r="349">
          <cell r="A349" t="str">
            <v>642300</v>
          </cell>
        </row>
        <row r="350">
          <cell r="A350" t="str">
            <v>642400</v>
          </cell>
        </row>
        <row r="351">
          <cell r="A351" t="str">
            <v>642900</v>
          </cell>
        </row>
        <row r="352">
          <cell r="A352" t="str">
            <v>643000</v>
          </cell>
        </row>
        <row r="353">
          <cell r="A353" t="str">
            <v>644000</v>
          </cell>
        </row>
        <row r="354">
          <cell r="A354" t="str">
            <v>644100</v>
          </cell>
        </row>
        <row r="355">
          <cell r="A355" t="str">
            <v>645000</v>
          </cell>
        </row>
        <row r="356">
          <cell r="A356" t="str">
            <v>646000</v>
          </cell>
        </row>
        <row r="357">
          <cell r="A357" t="str">
            <v>646020</v>
          </cell>
        </row>
        <row r="358">
          <cell r="A358" t="str">
            <v>646040</v>
          </cell>
        </row>
        <row r="359">
          <cell r="A359" t="str">
            <v>646200</v>
          </cell>
        </row>
        <row r="360">
          <cell r="A360" t="str">
            <v>646220</v>
          </cell>
        </row>
        <row r="361">
          <cell r="A361" t="str">
            <v>646240</v>
          </cell>
        </row>
        <row r="362">
          <cell r="A362" t="str">
            <v>646400</v>
          </cell>
        </row>
        <row r="363">
          <cell r="A363" t="str">
            <v>646420</v>
          </cell>
        </row>
        <row r="364">
          <cell r="A364" t="str">
            <v>646440</v>
          </cell>
        </row>
        <row r="365">
          <cell r="A365" t="str">
            <v>646500</v>
          </cell>
        </row>
        <row r="366">
          <cell r="A366" t="str">
            <v>646520</v>
          </cell>
        </row>
        <row r="367">
          <cell r="A367" t="str">
            <v>646540</v>
          </cell>
        </row>
        <row r="368">
          <cell r="A368" t="str">
            <v>647000</v>
          </cell>
        </row>
        <row r="369">
          <cell r="A369" t="str">
            <v>647200</v>
          </cell>
        </row>
        <row r="370">
          <cell r="A370" t="str">
            <v>647400</v>
          </cell>
        </row>
        <row r="371">
          <cell r="A371" t="str">
            <v>647500</v>
          </cell>
        </row>
        <row r="372">
          <cell r="A372" t="str">
            <v>647600</v>
          </cell>
        </row>
        <row r="373">
          <cell r="A373" t="str">
            <v>648000</v>
          </cell>
        </row>
        <row r="374">
          <cell r="A374" t="str">
            <v>649000</v>
          </cell>
        </row>
        <row r="375">
          <cell r="A375" t="str">
            <v>649500</v>
          </cell>
        </row>
        <row r="376">
          <cell r="A376" t="str">
            <v>651160</v>
          </cell>
        </row>
        <row r="377">
          <cell r="A377" t="str">
            <v>651170</v>
          </cell>
        </row>
        <row r="378">
          <cell r="A378" t="str">
            <v>651500</v>
          </cell>
        </row>
        <row r="379">
          <cell r="A379" t="str">
            <v>651600</v>
          </cell>
        </row>
        <row r="380">
          <cell r="A380" t="str">
            <v>651700</v>
          </cell>
        </row>
        <row r="381">
          <cell r="A381" t="str">
            <v>651800</v>
          </cell>
        </row>
        <row r="382">
          <cell r="A382" t="str">
            <v>653000</v>
          </cell>
        </row>
        <row r="383">
          <cell r="A383" t="str">
            <v>654000</v>
          </cell>
        </row>
        <row r="384">
          <cell r="A384" t="str">
            <v>655000</v>
          </cell>
        </row>
        <row r="385">
          <cell r="A385" t="str">
            <v>656000</v>
          </cell>
        </row>
        <row r="386">
          <cell r="A386" t="str">
            <v>657000</v>
          </cell>
        </row>
        <row r="387">
          <cell r="A387" t="str">
            <v>658000</v>
          </cell>
        </row>
        <row r="388">
          <cell r="A388" t="str">
            <v>661100</v>
          </cell>
        </row>
        <row r="389">
          <cell r="A389" t="str">
            <v>661200</v>
          </cell>
        </row>
        <row r="390">
          <cell r="A390" t="str">
            <v>661800</v>
          </cell>
        </row>
        <row r="391">
          <cell r="A391" t="str">
            <v>665100</v>
          </cell>
        </row>
        <row r="392">
          <cell r="A392" t="str">
            <v>665200</v>
          </cell>
        </row>
        <row r="393">
          <cell r="A393" t="str">
            <v>665400</v>
          </cell>
        </row>
        <row r="394">
          <cell r="A394" t="str">
            <v>665500</v>
          </cell>
        </row>
        <row r="395">
          <cell r="A395" t="str">
            <v>665800</v>
          </cell>
        </row>
        <row r="396">
          <cell r="A396" t="str">
            <v>668000</v>
          </cell>
        </row>
        <row r="397">
          <cell r="A397" t="str">
            <v>670000</v>
          </cell>
        </row>
        <row r="398">
          <cell r="A398" t="str">
            <v>681110</v>
          </cell>
        </row>
        <row r="399">
          <cell r="A399" t="str">
            <v>681120</v>
          </cell>
        </row>
        <row r="400">
          <cell r="A400" t="str">
            <v>681200</v>
          </cell>
        </row>
        <row r="401">
          <cell r="A401" t="str">
            <v>681500</v>
          </cell>
        </row>
        <row r="402">
          <cell r="A402" t="str">
            <v>681610</v>
          </cell>
        </row>
        <row r="403">
          <cell r="A403" t="str">
            <v>681620</v>
          </cell>
        </row>
        <row r="404">
          <cell r="A404" t="str">
            <v>681730</v>
          </cell>
        </row>
        <row r="405">
          <cell r="A405" t="str">
            <v>681740</v>
          </cell>
        </row>
        <row r="406">
          <cell r="A406" t="str">
            <v>681800</v>
          </cell>
        </row>
        <row r="407">
          <cell r="A407" t="str">
            <v>686100</v>
          </cell>
        </row>
        <row r="408">
          <cell r="A408" t="str">
            <v>686500</v>
          </cell>
        </row>
        <row r="409">
          <cell r="A409" t="str">
            <v>686620</v>
          </cell>
        </row>
        <row r="410">
          <cell r="A410" t="str">
            <v>686650</v>
          </cell>
        </row>
        <row r="411">
          <cell r="A411" t="str">
            <v>686800</v>
          </cell>
        </row>
        <row r="412">
          <cell r="A412" t="str">
            <v>691000</v>
          </cell>
        </row>
        <row r="413">
          <cell r="A413" t="str">
            <v>695000</v>
          </cell>
        </row>
        <row r="414">
          <cell r="A414" t="str">
            <v>697000</v>
          </cell>
        </row>
        <row r="415">
          <cell r="A415" t="str">
            <v>701100</v>
          </cell>
        </row>
        <row r="416">
          <cell r="A416" t="str">
            <v>701200</v>
          </cell>
        </row>
        <row r="417">
          <cell r="A417" t="str">
            <v>702000</v>
          </cell>
        </row>
        <row r="418">
          <cell r="A418" t="str">
            <v>703000</v>
          </cell>
        </row>
        <row r="419">
          <cell r="A419" t="str">
            <v>704000</v>
          </cell>
        </row>
        <row r="420">
          <cell r="A420" t="str">
            <v>705000</v>
          </cell>
        </row>
        <row r="421">
          <cell r="A421" t="str">
            <v>706000</v>
          </cell>
        </row>
        <row r="422">
          <cell r="A422" t="str">
            <v>707000</v>
          </cell>
        </row>
        <row r="423">
          <cell r="A423" t="str">
            <v>708000</v>
          </cell>
        </row>
        <row r="424">
          <cell r="A424" t="str">
            <v>709100</v>
          </cell>
        </row>
        <row r="425">
          <cell r="A425" t="str">
            <v>709200</v>
          </cell>
        </row>
        <row r="426">
          <cell r="A426" t="str">
            <v>709400</v>
          </cell>
        </row>
        <row r="427">
          <cell r="A427" t="str">
            <v>709500</v>
          </cell>
        </row>
        <row r="428">
          <cell r="A428" t="str">
            <v>709600</v>
          </cell>
        </row>
        <row r="429">
          <cell r="A429" t="str">
            <v>709700</v>
          </cell>
        </row>
        <row r="430">
          <cell r="A430" t="str">
            <v>709800</v>
          </cell>
        </row>
        <row r="431">
          <cell r="A431" t="str">
            <v>713300</v>
          </cell>
        </row>
        <row r="432">
          <cell r="A432" t="str">
            <v>713400</v>
          </cell>
        </row>
        <row r="433">
          <cell r="A433" t="str">
            <v>713500</v>
          </cell>
        </row>
        <row r="434">
          <cell r="A434" t="str">
            <v>721000</v>
          </cell>
        </row>
        <row r="435">
          <cell r="A435" t="str">
            <v>722000</v>
          </cell>
        </row>
        <row r="436">
          <cell r="A436" t="str">
            <v>728000</v>
          </cell>
        </row>
        <row r="437">
          <cell r="A437" t="str">
            <v>731000</v>
          </cell>
        </row>
        <row r="438">
          <cell r="A438" t="str">
            <v>732000</v>
          </cell>
        </row>
        <row r="439">
          <cell r="A439" t="str">
            <v>733000</v>
          </cell>
        </row>
        <row r="440">
          <cell r="A440" t="str">
            <v>734000</v>
          </cell>
        </row>
        <row r="441">
          <cell r="A441" t="str">
            <v>735000</v>
          </cell>
        </row>
        <row r="442">
          <cell r="A442" t="str">
            <v>736000</v>
          </cell>
        </row>
        <row r="443">
          <cell r="A443" t="str">
            <v>738000</v>
          </cell>
        </row>
        <row r="444">
          <cell r="A444" t="str">
            <v>739000</v>
          </cell>
        </row>
        <row r="445">
          <cell r="A445" t="str">
            <v>741000</v>
          </cell>
        </row>
        <row r="446">
          <cell r="A446" t="str">
            <v>745000</v>
          </cell>
        </row>
        <row r="447">
          <cell r="A447" t="str">
            <v>748000</v>
          </cell>
        </row>
        <row r="448">
          <cell r="A448" t="str">
            <v>751000</v>
          </cell>
        </row>
        <row r="449">
          <cell r="A449" t="str">
            <v>752000</v>
          </cell>
        </row>
        <row r="450">
          <cell r="A450" t="str">
            <v>753000</v>
          </cell>
        </row>
        <row r="451">
          <cell r="A451" t="str">
            <v>754000</v>
          </cell>
        </row>
        <row r="452">
          <cell r="A452" t="str">
            <v>755000</v>
          </cell>
        </row>
        <row r="453">
          <cell r="A453" t="str">
            <v>756000</v>
          </cell>
        </row>
        <row r="454">
          <cell r="A454" t="str">
            <v>757000</v>
          </cell>
        </row>
        <row r="455">
          <cell r="A455" t="str">
            <v>758000</v>
          </cell>
        </row>
        <row r="456">
          <cell r="A456" t="str">
            <v>770000</v>
          </cell>
        </row>
        <row r="457">
          <cell r="A457" t="str">
            <v>781110</v>
          </cell>
        </row>
        <row r="458">
          <cell r="A458" t="str">
            <v>781120</v>
          </cell>
        </row>
        <row r="459">
          <cell r="A459" t="str">
            <v>781500</v>
          </cell>
        </row>
        <row r="460">
          <cell r="A460" t="str">
            <v>781610</v>
          </cell>
        </row>
        <row r="461">
          <cell r="A461" t="str">
            <v>781620</v>
          </cell>
        </row>
        <row r="462">
          <cell r="A462" t="str">
            <v>781730</v>
          </cell>
        </row>
        <row r="463">
          <cell r="A463" t="str">
            <v>781740</v>
          </cell>
        </row>
        <row r="464">
          <cell r="A464" t="str">
            <v>781800</v>
          </cell>
        </row>
        <row r="465">
          <cell r="A465" t="str">
            <v>786500</v>
          </cell>
        </row>
        <row r="466">
          <cell r="A466" t="str">
            <v>786600</v>
          </cell>
        </row>
        <row r="467">
          <cell r="A467" t="str">
            <v>786800</v>
          </cell>
        </row>
        <row r="468">
          <cell r="A468" t="str">
            <v>790000</v>
          </cell>
        </row>
        <row r="470">
          <cell r="A470" t="str">
            <v>TOTAL</v>
          </cell>
        </row>
      </sheetData>
      <sheetData sheetId="3">
        <row r="6">
          <cell r="C6" t="str">
            <v>Numéro</v>
          </cell>
        </row>
        <row r="7">
          <cell r="C7">
            <v>101100</v>
          </cell>
        </row>
        <row r="8">
          <cell r="C8" t="str">
            <v>101200</v>
          </cell>
        </row>
        <row r="9">
          <cell r="C9" t="str">
            <v>101310</v>
          </cell>
        </row>
        <row r="10">
          <cell r="C10" t="str">
            <v>101320</v>
          </cell>
        </row>
        <row r="11">
          <cell r="C11" t="str">
            <v>101800</v>
          </cell>
        </row>
        <row r="12">
          <cell r="C12" t="str">
            <v>105000</v>
          </cell>
        </row>
        <row r="13">
          <cell r="C13" t="str">
            <v>108000</v>
          </cell>
        </row>
        <row r="14">
          <cell r="C14" t="str">
            <v>109000</v>
          </cell>
        </row>
        <row r="15">
          <cell r="C15" t="str">
            <v>111000</v>
          </cell>
        </row>
        <row r="16">
          <cell r="C16" t="str">
            <v>112000</v>
          </cell>
        </row>
        <row r="17">
          <cell r="C17" t="str">
            <v>117100</v>
          </cell>
        </row>
        <row r="18">
          <cell r="C18" t="str">
            <v>117200</v>
          </cell>
        </row>
        <row r="19">
          <cell r="C19" t="str">
            <v>117300</v>
          </cell>
        </row>
        <row r="20">
          <cell r="C20" t="str">
            <v>117400</v>
          </cell>
        </row>
        <row r="21">
          <cell r="C21" t="str">
            <v>117800</v>
          </cell>
        </row>
        <row r="22">
          <cell r="C22" t="str">
            <v>118100</v>
          </cell>
        </row>
        <row r="23">
          <cell r="C23" t="str">
            <v>119000</v>
          </cell>
        </row>
        <row r="24">
          <cell r="C24" t="str">
            <v>121000</v>
          </cell>
        </row>
        <row r="25">
          <cell r="C25" t="str">
            <v>128000</v>
          </cell>
        </row>
        <row r="26">
          <cell r="C26" t="str">
            <v>131000</v>
          </cell>
        </row>
        <row r="27">
          <cell r="C27" t="str">
            <v>135000</v>
          </cell>
        </row>
        <row r="28">
          <cell r="C28" t="str">
            <v>141000</v>
          </cell>
        </row>
        <row r="29">
          <cell r="C29" t="str">
            <v>142100</v>
          </cell>
        </row>
        <row r="30">
          <cell r="C30" t="str">
            <v>143000</v>
          </cell>
        </row>
        <row r="31">
          <cell r="C31" t="str">
            <v>144000</v>
          </cell>
        </row>
        <row r="32">
          <cell r="C32" t="str">
            <v>145100</v>
          </cell>
        </row>
        <row r="33">
          <cell r="C33" t="str">
            <v>145800</v>
          </cell>
        </row>
        <row r="34">
          <cell r="C34" t="str">
            <v>145900</v>
          </cell>
        </row>
        <row r="35">
          <cell r="C35" t="str">
            <v>147000</v>
          </cell>
        </row>
        <row r="36">
          <cell r="C36" t="str">
            <v>151100</v>
          </cell>
        </row>
        <row r="37">
          <cell r="C37" t="str">
            <v>151200</v>
          </cell>
        </row>
        <row r="38">
          <cell r="C38" t="str">
            <v>151300</v>
          </cell>
        </row>
        <row r="39">
          <cell r="C39" t="str">
            <v>151400</v>
          </cell>
        </row>
        <row r="40">
          <cell r="C40" t="str">
            <v>151500</v>
          </cell>
        </row>
        <row r="41">
          <cell r="C41" t="str">
            <v>151800</v>
          </cell>
        </row>
        <row r="42">
          <cell r="C42" t="str">
            <v>152200</v>
          </cell>
        </row>
        <row r="43">
          <cell r="C43" t="str">
            <v>153000</v>
          </cell>
        </row>
        <row r="44">
          <cell r="C44" t="str">
            <v>154000</v>
          </cell>
        </row>
        <row r="45">
          <cell r="C45" t="str">
            <v>155000</v>
          </cell>
        </row>
        <row r="46">
          <cell r="C46" t="str">
            <v>156000</v>
          </cell>
        </row>
        <row r="47">
          <cell r="C47" t="str">
            <v>157000</v>
          </cell>
        </row>
        <row r="48">
          <cell r="C48" t="str">
            <v>158000</v>
          </cell>
        </row>
        <row r="49">
          <cell r="C49" t="str">
            <v>161100</v>
          </cell>
        </row>
        <row r="50">
          <cell r="C50" t="str">
            <v>161800</v>
          </cell>
        </row>
        <row r="51">
          <cell r="C51" t="str">
            <v>162100</v>
          </cell>
        </row>
        <row r="52">
          <cell r="C52" t="str">
            <v>162600</v>
          </cell>
        </row>
        <row r="53">
          <cell r="C53" t="str">
            <v>163000</v>
          </cell>
        </row>
        <row r="54">
          <cell r="C54" t="str">
            <v>164100</v>
          </cell>
        </row>
        <row r="55">
          <cell r="C55" t="str">
            <v>164200</v>
          </cell>
        </row>
        <row r="56">
          <cell r="C56" t="str">
            <v>164400</v>
          </cell>
        </row>
        <row r="57">
          <cell r="C57" t="str">
            <v>165000</v>
          </cell>
        </row>
        <row r="58">
          <cell r="C58" t="str">
            <v>166100</v>
          </cell>
        </row>
        <row r="59">
          <cell r="C59" t="str">
            <v>166200</v>
          </cell>
        </row>
        <row r="60">
          <cell r="C60" t="str">
            <v>166300</v>
          </cell>
        </row>
        <row r="61">
          <cell r="C61" t="str">
            <v>167000</v>
          </cell>
        </row>
        <row r="62">
          <cell r="C62" t="str">
            <v>168100</v>
          </cell>
        </row>
        <row r="63">
          <cell r="C63" t="str">
            <v>168500</v>
          </cell>
        </row>
        <row r="64">
          <cell r="C64" t="str">
            <v>168800</v>
          </cell>
        </row>
        <row r="65">
          <cell r="C65" t="str">
            <v>171000</v>
          </cell>
        </row>
        <row r="66">
          <cell r="C66" t="str">
            <v>176000</v>
          </cell>
        </row>
        <row r="67">
          <cell r="C67" t="str">
            <v>177000</v>
          </cell>
        </row>
        <row r="68">
          <cell r="C68" t="str">
            <v>185000</v>
          </cell>
        </row>
        <row r="69">
          <cell r="C69" t="str">
            <v>188000</v>
          </cell>
        </row>
        <row r="70">
          <cell r="C70" t="str">
            <v>211000</v>
          </cell>
        </row>
        <row r="71">
          <cell r="C71" t="str">
            <v>212000</v>
          </cell>
        </row>
        <row r="72">
          <cell r="C72" t="str">
            <v>213000</v>
          </cell>
        </row>
        <row r="73">
          <cell r="C73" t="str">
            <v>214000</v>
          </cell>
        </row>
        <row r="74">
          <cell r="C74" t="str">
            <v>216000</v>
          </cell>
        </row>
        <row r="75">
          <cell r="C75" t="str">
            <v>218000</v>
          </cell>
        </row>
        <row r="76">
          <cell r="C76" t="str">
            <v>221300</v>
          </cell>
        </row>
        <row r="77">
          <cell r="C77" t="str">
            <v>221400</v>
          </cell>
        </row>
        <row r="78">
          <cell r="C78" t="str">
            <v>221500</v>
          </cell>
        </row>
        <row r="79">
          <cell r="C79" t="str">
            <v>221600</v>
          </cell>
        </row>
        <row r="80">
          <cell r="C80" t="str">
            <v>222100</v>
          </cell>
        </row>
        <row r="81">
          <cell r="C81" t="str">
            <v>222500</v>
          </cell>
        </row>
        <row r="82">
          <cell r="C82" t="str">
            <v>222600</v>
          </cell>
        </row>
        <row r="83">
          <cell r="C83" t="str">
            <v>222700</v>
          </cell>
        </row>
        <row r="84">
          <cell r="C84" t="str">
            <v>223100</v>
          </cell>
        </row>
        <row r="85">
          <cell r="C85" t="str">
            <v>223400</v>
          </cell>
        </row>
        <row r="86">
          <cell r="C86" t="str">
            <v>223500</v>
          </cell>
        </row>
        <row r="87">
          <cell r="C87" t="str">
            <v>223700</v>
          </cell>
        </row>
        <row r="88">
          <cell r="C88" t="str">
            <v>224100</v>
          </cell>
        </row>
        <row r="89">
          <cell r="C89" t="str">
            <v>224400</v>
          </cell>
        </row>
        <row r="90">
          <cell r="C90" t="str">
            <v>228100</v>
          </cell>
        </row>
        <row r="91">
          <cell r="C91" t="str">
            <v>228200</v>
          </cell>
        </row>
        <row r="92">
          <cell r="C92" t="str">
            <v>228600</v>
          </cell>
        </row>
        <row r="93">
          <cell r="C93" t="str">
            <v>231000</v>
          </cell>
        </row>
        <row r="94">
          <cell r="C94" t="str">
            <v>232000</v>
          </cell>
        </row>
        <row r="95">
          <cell r="C95" t="str">
            <v>237000</v>
          </cell>
        </row>
        <row r="96">
          <cell r="C96" t="str">
            <v>238000</v>
          </cell>
        </row>
        <row r="97">
          <cell r="C97" t="str">
            <v>240000</v>
          </cell>
        </row>
        <row r="98">
          <cell r="C98" t="str">
            <v>251100</v>
          </cell>
        </row>
        <row r="99">
          <cell r="C99" t="str">
            <v>251800</v>
          </cell>
        </row>
        <row r="100">
          <cell r="C100" t="str">
            <v>256000</v>
          </cell>
        </row>
        <row r="101">
          <cell r="C101" t="str">
            <v>257100</v>
          </cell>
        </row>
        <row r="102">
          <cell r="C102" t="str">
            <v>257400</v>
          </cell>
        </row>
        <row r="103">
          <cell r="C103" t="str">
            <v>257500</v>
          </cell>
        </row>
        <row r="104">
          <cell r="C104" t="str">
            <v>257600</v>
          </cell>
        </row>
        <row r="105">
          <cell r="C105" t="str">
            <v>257700</v>
          </cell>
        </row>
        <row r="106">
          <cell r="C106" t="str">
            <v>258000</v>
          </cell>
        </row>
        <row r="107">
          <cell r="C107" t="str">
            <v>259000</v>
          </cell>
        </row>
        <row r="108">
          <cell r="C108" t="str">
            <v>261100</v>
          </cell>
        </row>
        <row r="109">
          <cell r="C109" t="str">
            <v>261800</v>
          </cell>
        </row>
        <row r="110">
          <cell r="C110" t="str">
            <v>262100</v>
          </cell>
        </row>
        <row r="111">
          <cell r="C111" t="str">
            <v>262200</v>
          </cell>
        </row>
        <row r="112">
          <cell r="C112" t="str">
            <v>264100</v>
          </cell>
        </row>
        <row r="113">
          <cell r="C113" t="str">
            <v>264200</v>
          </cell>
        </row>
        <row r="114">
          <cell r="C114" t="str">
            <v>264300</v>
          </cell>
        </row>
        <row r="115">
          <cell r="C115" t="str">
            <v>264500</v>
          </cell>
        </row>
        <row r="116">
          <cell r="C116" t="str">
            <v>264800</v>
          </cell>
        </row>
        <row r="117">
          <cell r="C117" t="str">
            <v>265100</v>
          </cell>
        </row>
        <row r="118">
          <cell r="C118" t="str">
            <v>265500</v>
          </cell>
        </row>
        <row r="119">
          <cell r="C119" t="str">
            <v>265600</v>
          </cell>
        </row>
        <row r="120">
          <cell r="C120" t="str">
            <v>265800</v>
          </cell>
        </row>
        <row r="121">
          <cell r="C121" t="str">
            <v>266100</v>
          </cell>
        </row>
        <row r="122">
          <cell r="C122" t="str">
            <v>266700</v>
          </cell>
        </row>
        <row r="123">
          <cell r="C123" t="str">
            <v>266800</v>
          </cell>
        </row>
        <row r="124">
          <cell r="C124" t="str">
            <v>269000</v>
          </cell>
        </row>
        <row r="125">
          <cell r="C125" t="str">
            <v>271000</v>
          </cell>
        </row>
        <row r="126">
          <cell r="C126" t="str">
            <v>272000</v>
          </cell>
        </row>
        <row r="127">
          <cell r="C127" t="str">
            <v>273000</v>
          </cell>
        </row>
        <row r="128">
          <cell r="C128" t="str">
            <v>275000</v>
          </cell>
        </row>
        <row r="129">
          <cell r="C129" t="str">
            <v>278000</v>
          </cell>
        </row>
        <row r="130">
          <cell r="C130" t="str">
            <v>281000</v>
          </cell>
        </row>
        <row r="131">
          <cell r="C131" t="str">
            <v>282000</v>
          </cell>
        </row>
        <row r="132">
          <cell r="C132" t="str">
            <v>284000</v>
          </cell>
        </row>
        <row r="133">
          <cell r="C133" t="str">
            <v>291000</v>
          </cell>
        </row>
        <row r="134">
          <cell r="C134" t="str">
            <v>292000</v>
          </cell>
        </row>
        <row r="135">
          <cell r="C135" t="str">
            <v>293000</v>
          </cell>
        </row>
        <row r="136">
          <cell r="C136" t="str">
            <v>294000</v>
          </cell>
        </row>
        <row r="137">
          <cell r="C137" t="str">
            <v>295000</v>
          </cell>
        </row>
        <row r="138">
          <cell r="C138" t="str">
            <v>297000</v>
          </cell>
        </row>
        <row r="139">
          <cell r="C139" t="str">
            <v>311000</v>
          </cell>
        </row>
        <row r="140">
          <cell r="C140" t="str">
            <v>313000</v>
          </cell>
        </row>
        <row r="141">
          <cell r="C141" t="str">
            <v>317000</v>
          </cell>
        </row>
        <row r="142">
          <cell r="C142" t="str">
            <v>321000</v>
          </cell>
        </row>
        <row r="143">
          <cell r="C143" t="str">
            <v>322000</v>
          </cell>
        </row>
        <row r="144">
          <cell r="C144" t="str">
            <v>326000</v>
          </cell>
        </row>
        <row r="145">
          <cell r="C145" t="str">
            <v>327000</v>
          </cell>
        </row>
        <row r="146">
          <cell r="C146" t="str">
            <v>331000</v>
          </cell>
        </row>
        <row r="147">
          <cell r="C147" t="str">
            <v>335000</v>
          </cell>
        </row>
        <row r="148">
          <cell r="C148" t="str">
            <v>341000</v>
          </cell>
        </row>
        <row r="149">
          <cell r="C149" t="str">
            <v>345000</v>
          </cell>
        </row>
        <row r="150">
          <cell r="C150" t="str">
            <v>351000</v>
          </cell>
        </row>
        <row r="151">
          <cell r="C151" t="str">
            <v>355000</v>
          </cell>
        </row>
        <row r="152">
          <cell r="C152" t="str">
            <v>357000</v>
          </cell>
        </row>
        <row r="153">
          <cell r="C153" t="str">
            <v>370000</v>
          </cell>
        </row>
        <row r="154">
          <cell r="C154" t="str">
            <v>390000</v>
          </cell>
        </row>
        <row r="155">
          <cell r="C155" t="str">
            <v>401100</v>
          </cell>
        </row>
        <row r="156">
          <cell r="C156" t="str">
            <v>401700</v>
          </cell>
        </row>
        <row r="157">
          <cell r="C157" t="str">
            <v>403000</v>
          </cell>
        </row>
        <row r="158">
          <cell r="C158" t="str">
            <v>404100</v>
          </cell>
        </row>
        <row r="159">
          <cell r="C159" t="str">
            <v>404700</v>
          </cell>
        </row>
        <row r="160">
          <cell r="C160" t="str">
            <v>405000</v>
          </cell>
        </row>
        <row r="161">
          <cell r="C161" t="str">
            <v>408100</v>
          </cell>
        </row>
        <row r="162">
          <cell r="C162" t="str">
            <v>408400</v>
          </cell>
        </row>
        <row r="163">
          <cell r="C163" t="str">
            <v>408800</v>
          </cell>
        </row>
        <row r="164">
          <cell r="C164" t="str">
            <v>409100</v>
          </cell>
        </row>
        <row r="165">
          <cell r="C165" t="str">
            <v>409600</v>
          </cell>
        </row>
        <row r="166">
          <cell r="C166" t="str">
            <v>409710</v>
          </cell>
        </row>
        <row r="167">
          <cell r="C167" t="str">
            <v>409740</v>
          </cell>
        </row>
        <row r="168">
          <cell r="C168" t="str">
            <v>409800</v>
          </cell>
        </row>
        <row r="169">
          <cell r="C169" t="str">
            <v>411100</v>
          </cell>
        </row>
        <row r="170">
          <cell r="C170" t="str">
            <v>411700</v>
          </cell>
        </row>
        <row r="171">
          <cell r="C171" t="str">
            <v>413000</v>
          </cell>
        </row>
        <row r="172">
          <cell r="C172" t="str">
            <v>416000</v>
          </cell>
        </row>
        <row r="173">
          <cell r="C173" t="str">
            <v>417000</v>
          </cell>
        </row>
        <row r="174">
          <cell r="C174" t="str">
            <v>418100</v>
          </cell>
        </row>
        <row r="175">
          <cell r="C175" t="str">
            <v>418800</v>
          </cell>
        </row>
        <row r="176">
          <cell r="C176" t="str">
            <v>419100</v>
          </cell>
        </row>
        <row r="177">
          <cell r="C177" t="str">
            <v>419600</v>
          </cell>
        </row>
        <row r="178">
          <cell r="C178" t="str">
            <v>419700</v>
          </cell>
        </row>
        <row r="179">
          <cell r="C179" t="str">
            <v>419800</v>
          </cell>
        </row>
        <row r="180">
          <cell r="C180" t="str">
            <v>421000</v>
          </cell>
        </row>
        <row r="181">
          <cell r="C181" t="str">
            <v>422000</v>
          </cell>
        </row>
        <row r="182">
          <cell r="C182" t="str">
            <v>423000</v>
          </cell>
        </row>
        <row r="183">
          <cell r="C183" t="str">
            <v>425000</v>
          </cell>
        </row>
        <row r="184">
          <cell r="C184" t="str">
            <v>426000</v>
          </cell>
        </row>
        <row r="185">
          <cell r="C185" t="str">
            <v>427000</v>
          </cell>
        </row>
        <row r="186">
          <cell r="C186" t="str">
            <v>428200</v>
          </cell>
        </row>
        <row r="187">
          <cell r="C187" t="str">
            <v>428600</v>
          </cell>
        </row>
        <row r="188">
          <cell r="C188" t="str">
            <v>428700</v>
          </cell>
        </row>
        <row r="189">
          <cell r="C189" t="str">
            <v>431000</v>
          </cell>
        </row>
        <row r="190">
          <cell r="C190" t="str">
            <v>432000</v>
          </cell>
        </row>
        <row r="191">
          <cell r="C191" t="str">
            <v>433000</v>
          </cell>
        </row>
        <row r="192">
          <cell r="C192" t="str">
            <v>434100</v>
          </cell>
        </row>
        <row r="193">
          <cell r="C193" t="str">
            <v>434200</v>
          </cell>
        </row>
        <row r="194">
          <cell r="C194" t="str">
            <v>434300</v>
          </cell>
        </row>
        <row r="195">
          <cell r="C195" t="str">
            <v>434900</v>
          </cell>
        </row>
        <row r="196">
          <cell r="C196" t="str">
            <v>435000</v>
          </cell>
        </row>
        <row r="197">
          <cell r="C197" t="str">
            <v>436510</v>
          </cell>
        </row>
        <row r="198">
          <cell r="C198" t="str">
            <v>436580</v>
          </cell>
        </row>
        <row r="199">
          <cell r="C199" t="str">
            <v>436620</v>
          </cell>
        </row>
        <row r="200">
          <cell r="C200" t="str">
            <v>436630</v>
          </cell>
        </row>
        <row r="201">
          <cell r="C201" t="str">
            <v>436660</v>
          </cell>
        </row>
        <row r="202">
          <cell r="C202" t="str">
            <v>436670</v>
          </cell>
        </row>
        <row r="203">
          <cell r="C203" t="str">
            <v>436680</v>
          </cell>
        </row>
        <row r="204">
          <cell r="C204" t="str">
            <v>436711</v>
          </cell>
        </row>
        <row r="205">
          <cell r="C205" t="str">
            <v>436712</v>
          </cell>
        </row>
        <row r="206">
          <cell r="C206" t="str">
            <v>436780</v>
          </cell>
        </row>
        <row r="207">
          <cell r="C207" t="str">
            <v>436800</v>
          </cell>
        </row>
        <row r="208">
          <cell r="C208" t="str">
            <v>437000</v>
          </cell>
        </row>
        <row r="209">
          <cell r="C209" t="str">
            <v>438200</v>
          </cell>
        </row>
        <row r="210">
          <cell r="C210" t="str">
            <v>438600</v>
          </cell>
        </row>
        <row r="211">
          <cell r="C211" t="str">
            <v>438700</v>
          </cell>
        </row>
        <row r="212">
          <cell r="C212" t="str">
            <v>441100</v>
          </cell>
        </row>
        <row r="213">
          <cell r="C213" t="str">
            <v>441200</v>
          </cell>
        </row>
        <row r="214">
          <cell r="C214" t="str">
            <v>442100</v>
          </cell>
        </row>
        <row r="215">
          <cell r="C215" t="str">
            <v>442800</v>
          </cell>
        </row>
        <row r="216">
          <cell r="C216" t="str">
            <v>446000</v>
          </cell>
        </row>
        <row r="217">
          <cell r="C217" t="str">
            <v>447000</v>
          </cell>
        </row>
        <row r="218">
          <cell r="C218" t="str">
            <v>448100</v>
          </cell>
        </row>
        <row r="219">
          <cell r="C219" t="str">
            <v>448800</v>
          </cell>
        </row>
        <row r="220">
          <cell r="C220" t="str">
            <v>452000</v>
          </cell>
        </row>
        <row r="221">
          <cell r="C221" t="str">
            <v>453110</v>
          </cell>
        </row>
        <row r="222">
          <cell r="C222" t="str">
            <v>453180</v>
          </cell>
        </row>
        <row r="223">
          <cell r="C223" t="str">
            <v>453820</v>
          </cell>
        </row>
        <row r="224">
          <cell r="C224" t="str">
            <v>453860</v>
          </cell>
        </row>
        <row r="225">
          <cell r="C225" t="str">
            <v>453870</v>
          </cell>
        </row>
        <row r="226">
          <cell r="C226" t="str">
            <v>454000</v>
          </cell>
        </row>
        <row r="227">
          <cell r="C227" t="str">
            <v>455000</v>
          </cell>
        </row>
        <row r="228">
          <cell r="C228" t="str">
            <v>457000</v>
          </cell>
        </row>
        <row r="229">
          <cell r="C229" t="str">
            <v>458600</v>
          </cell>
        </row>
        <row r="230">
          <cell r="C230" t="str">
            <v>458700</v>
          </cell>
        </row>
        <row r="231">
          <cell r="C231" t="str">
            <v>461000</v>
          </cell>
        </row>
        <row r="232">
          <cell r="C232" t="str">
            <v>465100</v>
          </cell>
        </row>
        <row r="233">
          <cell r="C233" t="str">
            <v>465200</v>
          </cell>
        </row>
        <row r="234">
          <cell r="C234" t="str">
            <v>468000</v>
          </cell>
        </row>
        <row r="235">
          <cell r="C235" t="str">
            <v>471000</v>
          </cell>
        </row>
        <row r="236">
          <cell r="C236" t="str">
            <v>472000</v>
          </cell>
        </row>
        <row r="237">
          <cell r="C237" t="str">
            <v>478600</v>
          </cell>
        </row>
        <row r="238">
          <cell r="C238" t="str">
            <v>478700</v>
          </cell>
        </row>
        <row r="239">
          <cell r="C239" t="str">
            <v>480000</v>
          </cell>
        </row>
        <row r="240">
          <cell r="C240" t="str">
            <v>491000</v>
          </cell>
        </row>
        <row r="241">
          <cell r="C241" t="str">
            <v>495100</v>
          </cell>
        </row>
        <row r="242">
          <cell r="C242" t="str">
            <v>495200</v>
          </cell>
        </row>
        <row r="243">
          <cell r="C243" t="str">
            <v>495800</v>
          </cell>
        </row>
        <row r="244">
          <cell r="C244" t="str">
            <v>496200</v>
          </cell>
        </row>
        <row r="245">
          <cell r="C245" t="str">
            <v>496500</v>
          </cell>
        </row>
        <row r="246">
          <cell r="C246" t="str">
            <v>496700</v>
          </cell>
        </row>
        <row r="247">
          <cell r="C247" t="str">
            <v>501000</v>
          </cell>
        </row>
        <row r="248">
          <cell r="C248" t="str">
            <v>505000</v>
          </cell>
        </row>
        <row r="249">
          <cell r="C249" t="str">
            <v>506100</v>
          </cell>
        </row>
        <row r="250">
          <cell r="C250" t="str">
            <v>506300</v>
          </cell>
        </row>
        <row r="251">
          <cell r="C251" t="str">
            <v>506700</v>
          </cell>
        </row>
        <row r="252">
          <cell r="C252" t="str">
            <v>507000</v>
          </cell>
        </row>
        <row r="253">
          <cell r="C253" t="str">
            <v>508000</v>
          </cell>
        </row>
        <row r="254">
          <cell r="C254" t="str">
            <v>511000</v>
          </cell>
        </row>
        <row r="255">
          <cell r="C255" t="str">
            <v>516000</v>
          </cell>
        </row>
        <row r="256">
          <cell r="C256" t="str">
            <v>517000</v>
          </cell>
        </row>
        <row r="257">
          <cell r="C257" t="str">
            <v>518000</v>
          </cell>
        </row>
        <row r="258">
          <cell r="C258" t="str">
            <v>523100</v>
          </cell>
        </row>
        <row r="259">
          <cell r="C259" t="str">
            <v>523500</v>
          </cell>
        </row>
        <row r="260">
          <cell r="C260" t="str">
            <v>524000</v>
          </cell>
        </row>
        <row r="261">
          <cell r="C261" t="str">
            <v>525000</v>
          </cell>
        </row>
        <row r="262">
          <cell r="C262" t="str">
            <v>526100</v>
          </cell>
        </row>
        <row r="263">
          <cell r="C263" t="str">
            <v>526500</v>
          </cell>
        </row>
        <row r="264">
          <cell r="C264" t="str">
            <v>526600</v>
          </cell>
        </row>
        <row r="265">
          <cell r="C265" t="str">
            <v>527000</v>
          </cell>
        </row>
        <row r="266">
          <cell r="C266" t="str">
            <v>528100</v>
          </cell>
        </row>
        <row r="267">
          <cell r="C267" t="str">
            <v>528800</v>
          </cell>
        </row>
        <row r="268">
          <cell r="C268" t="str">
            <v>529000</v>
          </cell>
        </row>
        <row r="269">
          <cell r="C269" t="str">
            <v>531100</v>
          </cell>
        </row>
        <row r="270">
          <cell r="C270" t="str">
            <v>531200</v>
          </cell>
        </row>
        <row r="271">
          <cell r="C271" t="str">
            <v>531300</v>
          </cell>
        </row>
        <row r="272">
          <cell r="C272" t="str">
            <v>531400</v>
          </cell>
        </row>
        <row r="273">
          <cell r="C273" t="str">
            <v>532100</v>
          </cell>
        </row>
        <row r="274">
          <cell r="C274" t="str">
            <v>532400</v>
          </cell>
        </row>
        <row r="275">
          <cell r="C275" t="str">
            <v>534000</v>
          </cell>
        </row>
        <row r="276">
          <cell r="C276" t="str">
            <v>535000</v>
          </cell>
        </row>
        <row r="277">
          <cell r="C277" t="str">
            <v>537000</v>
          </cell>
        </row>
        <row r="278">
          <cell r="C278" t="str">
            <v>541100</v>
          </cell>
        </row>
        <row r="279">
          <cell r="C279" t="str">
            <v>541400</v>
          </cell>
        </row>
        <row r="280">
          <cell r="C280" t="str">
            <v>542000</v>
          </cell>
        </row>
        <row r="281">
          <cell r="C281" t="str">
            <v>550000</v>
          </cell>
        </row>
        <row r="282">
          <cell r="C282" t="str">
            <v>580000</v>
          </cell>
        </row>
        <row r="283">
          <cell r="C283" t="str">
            <v>590000</v>
          </cell>
        </row>
        <row r="284">
          <cell r="C284" t="str">
            <v>601000</v>
          </cell>
        </row>
        <row r="285">
          <cell r="C285" t="str">
            <v>602100</v>
          </cell>
        </row>
        <row r="286">
          <cell r="C286" t="str">
            <v>602200</v>
          </cell>
        </row>
        <row r="287">
          <cell r="C287" t="str">
            <v>602600</v>
          </cell>
        </row>
        <row r="288">
          <cell r="C288" t="str">
            <v>603100</v>
          </cell>
        </row>
        <row r="289">
          <cell r="C289" t="str">
            <v>603200</v>
          </cell>
        </row>
        <row r="290">
          <cell r="C290" t="str">
            <v>603700</v>
          </cell>
        </row>
        <row r="291">
          <cell r="C291" t="str">
            <v>604000</v>
          </cell>
        </row>
        <row r="292">
          <cell r="C292" t="str">
            <v>605000</v>
          </cell>
        </row>
        <row r="293">
          <cell r="C293" t="str">
            <v>606000</v>
          </cell>
        </row>
        <row r="294">
          <cell r="C294" t="str">
            <v>607000</v>
          </cell>
        </row>
        <row r="295">
          <cell r="C295" t="str">
            <v>608000</v>
          </cell>
        </row>
        <row r="296">
          <cell r="C296" t="str">
            <v>609800</v>
          </cell>
        </row>
        <row r="297">
          <cell r="C297" t="str">
            <v>611000</v>
          </cell>
        </row>
        <row r="298">
          <cell r="C298" t="str">
            <v>612000</v>
          </cell>
        </row>
        <row r="299">
          <cell r="C299" t="str">
            <v>613000</v>
          </cell>
        </row>
        <row r="300">
          <cell r="C300" t="str">
            <v>614000</v>
          </cell>
        </row>
        <row r="301">
          <cell r="C301" t="str">
            <v>615000</v>
          </cell>
        </row>
        <row r="302">
          <cell r="C302" t="str">
            <v>616000</v>
          </cell>
        </row>
        <row r="303">
          <cell r="C303" t="str">
            <v>617000</v>
          </cell>
        </row>
        <row r="304">
          <cell r="C304" t="str">
            <v>618000</v>
          </cell>
        </row>
        <row r="305">
          <cell r="C305" t="str">
            <v>619000</v>
          </cell>
        </row>
        <row r="306">
          <cell r="C306" t="str">
            <v>621000</v>
          </cell>
        </row>
        <row r="307">
          <cell r="C307" t="str">
            <v>622000</v>
          </cell>
        </row>
        <row r="308">
          <cell r="C308" t="str">
            <v>623000</v>
          </cell>
        </row>
        <row r="309">
          <cell r="C309" t="str">
            <v>624100</v>
          </cell>
        </row>
        <row r="310">
          <cell r="C310" t="str">
            <v>624200</v>
          </cell>
        </row>
        <row r="311">
          <cell r="C311" t="str">
            <v>624400</v>
          </cell>
        </row>
        <row r="312">
          <cell r="C312" t="str">
            <v>624700</v>
          </cell>
        </row>
        <row r="313">
          <cell r="C313" t="str">
            <v>624800</v>
          </cell>
        </row>
        <row r="314">
          <cell r="C314" t="str">
            <v>625100</v>
          </cell>
        </row>
        <row r="315">
          <cell r="C315" t="str">
            <v>625500</v>
          </cell>
        </row>
        <row r="316">
          <cell r="C316" t="str">
            <v>625600</v>
          </cell>
        </row>
        <row r="317">
          <cell r="C317" t="str">
            <v>625700</v>
          </cell>
        </row>
        <row r="318">
          <cell r="C318" t="str">
            <v>626000</v>
          </cell>
        </row>
        <row r="319">
          <cell r="C319" t="str">
            <v>627100</v>
          </cell>
        </row>
        <row r="320">
          <cell r="C320" t="str">
            <v>627200</v>
          </cell>
        </row>
        <row r="321">
          <cell r="C321" t="str">
            <v>627500</v>
          </cell>
        </row>
        <row r="322">
          <cell r="C322" t="str">
            <v>627600</v>
          </cell>
        </row>
        <row r="323">
          <cell r="C323" t="str">
            <v>627800</v>
          </cell>
        </row>
        <row r="324">
          <cell r="C324" t="str">
            <v>628000</v>
          </cell>
        </row>
        <row r="325">
          <cell r="C325" t="str">
            <v>629000</v>
          </cell>
        </row>
        <row r="326">
          <cell r="C326" t="str">
            <v>631000</v>
          </cell>
        </row>
        <row r="327">
          <cell r="C327" t="str">
            <v>633000</v>
          </cell>
        </row>
        <row r="328">
          <cell r="C328" t="str">
            <v>634100</v>
          </cell>
        </row>
        <row r="329">
          <cell r="C329" t="str">
            <v>634400</v>
          </cell>
        </row>
        <row r="330">
          <cell r="C330" t="str">
            <v>635100</v>
          </cell>
        </row>
        <row r="331">
          <cell r="C331" t="str">
            <v>635500</v>
          </cell>
        </row>
        <row r="332">
          <cell r="C332" t="str">
            <v>636000</v>
          </cell>
        </row>
        <row r="333">
          <cell r="C333" t="str">
            <v>637000</v>
          </cell>
        </row>
        <row r="334">
          <cell r="C334" t="str">
            <v>638000</v>
          </cell>
        </row>
        <row r="335">
          <cell r="C335" t="str">
            <v>640000</v>
          </cell>
        </row>
        <row r="336">
          <cell r="C336" t="str">
            <v>640100</v>
          </cell>
        </row>
        <row r="337">
          <cell r="C337" t="str">
            <v>640200</v>
          </cell>
        </row>
        <row r="338">
          <cell r="C338" t="str">
            <v>640300</v>
          </cell>
        </row>
        <row r="339">
          <cell r="C339" t="str">
            <v>640400</v>
          </cell>
        </row>
        <row r="340">
          <cell r="C340" t="str">
            <v>640900</v>
          </cell>
        </row>
        <row r="341">
          <cell r="C341" t="str">
            <v>642000</v>
          </cell>
        </row>
        <row r="342">
          <cell r="C342" t="str">
            <v>642100</v>
          </cell>
        </row>
        <row r="343">
          <cell r="C343" t="str">
            <v>642200</v>
          </cell>
        </row>
        <row r="344">
          <cell r="C344" t="str">
            <v>642300</v>
          </cell>
        </row>
        <row r="345">
          <cell r="C345" t="str">
            <v>642400</v>
          </cell>
        </row>
        <row r="346">
          <cell r="C346" t="str">
            <v>642900</v>
          </cell>
        </row>
        <row r="347">
          <cell r="C347" t="str">
            <v>643000</v>
          </cell>
        </row>
        <row r="348">
          <cell r="C348" t="str">
            <v>644000</v>
          </cell>
        </row>
        <row r="349">
          <cell r="C349" t="str">
            <v>644100</v>
          </cell>
        </row>
        <row r="350">
          <cell r="C350" t="str">
            <v>645000</v>
          </cell>
        </row>
        <row r="351">
          <cell r="C351" t="str">
            <v>646000</v>
          </cell>
        </row>
        <row r="352">
          <cell r="C352" t="str">
            <v>646020</v>
          </cell>
        </row>
        <row r="353">
          <cell r="C353" t="str">
            <v>646040</v>
          </cell>
        </row>
        <row r="354">
          <cell r="C354" t="str">
            <v>646200</v>
          </cell>
        </row>
        <row r="355">
          <cell r="C355" t="str">
            <v>646220</v>
          </cell>
        </row>
        <row r="356">
          <cell r="C356" t="str">
            <v>646240</v>
          </cell>
        </row>
        <row r="357">
          <cell r="C357" t="str">
            <v>646400</v>
          </cell>
        </row>
        <row r="358">
          <cell r="C358" t="str">
            <v>646420</v>
          </cell>
        </row>
        <row r="359">
          <cell r="C359" t="str">
            <v>646440</v>
          </cell>
        </row>
        <row r="360">
          <cell r="C360" t="str">
            <v>646500</v>
          </cell>
        </row>
        <row r="361">
          <cell r="C361" t="str">
            <v>646520</v>
          </cell>
        </row>
        <row r="362">
          <cell r="C362" t="str">
            <v>646540</v>
          </cell>
        </row>
        <row r="363">
          <cell r="C363" t="str">
            <v>647000</v>
          </cell>
        </row>
        <row r="364">
          <cell r="C364" t="str">
            <v>647200</v>
          </cell>
        </row>
        <row r="365">
          <cell r="C365" t="str">
            <v>647400</v>
          </cell>
        </row>
        <row r="366">
          <cell r="C366" t="str">
            <v>647500</v>
          </cell>
        </row>
        <row r="367">
          <cell r="C367" t="str">
            <v>647600</v>
          </cell>
        </row>
        <row r="368">
          <cell r="C368" t="str">
            <v>648000</v>
          </cell>
        </row>
        <row r="369">
          <cell r="C369" t="str">
            <v>649000</v>
          </cell>
        </row>
        <row r="370">
          <cell r="C370" t="str">
            <v>649500</v>
          </cell>
        </row>
        <row r="371">
          <cell r="C371" t="str">
            <v>651160</v>
          </cell>
        </row>
        <row r="372">
          <cell r="C372" t="str">
            <v>651170</v>
          </cell>
        </row>
        <row r="373">
          <cell r="C373" t="str">
            <v>651500</v>
          </cell>
        </row>
        <row r="374">
          <cell r="C374" t="str">
            <v>651600</v>
          </cell>
        </row>
        <row r="375">
          <cell r="C375" t="str">
            <v>651700</v>
          </cell>
        </row>
        <row r="376">
          <cell r="C376" t="str">
            <v>651800</v>
          </cell>
        </row>
        <row r="377">
          <cell r="C377" t="str">
            <v>653000</v>
          </cell>
        </row>
        <row r="378">
          <cell r="C378" t="str">
            <v>654000</v>
          </cell>
        </row>
        <row r="379">
          <cell r="C379" t="str">
            <v>655000</v>
          </cell>
        </row>
        <row r="380">
          <cell r="C380" t="str">
            <v>656000</v>
          </cell>
        </row>
        <row r="381">
          <cell r="C381" t="str">
            <v>657000</v>
          </cell>
        </row>
        <row r="382">
          <cell r="C382" t="str">
            <v>658000</v>
          </cell>
        </row>
        <row r="383">
          <cell r="C383" t="str">
            <v>661100</v>
          </cell>
        </row>
        <row r="384">
          <cell r="C384" t="str">
            <v>661200</v>
          </cell>
        </row>
        <row r="385">
          <cell r="C385" t="str">
            <v>661800</v>
          </cell>
        </row>
        <row r="386">
          <cell r="C386" t="str">
            <v>665100</v>
          </cell>
        </row>
        <row r="387">
          <cell r="C387" t="str">
            <v>665200</v>
          </cell>
        </row>
        <row r="388">
          <cell r="C388" t="str">
            <v>665400</v>
          </cell>
        </row>
        <row r="389">
          <cell r="C389" t="str">
            <v>665500</v>
          </cell>
        </row>
        <row r="390">
          <cell r="C390" t="str">
            <v>665800</v>
          </cell>
        </row>
        <row r="391">
          <cell r="C391" t="str">
            <v>668000</v>
          </cell>
        </row>
        <row r="392">
          <cell r="C392" t="str">
            <v>670000</v>
          </cell>
        </row>
        <row r="393">
          <cell r="C393" t="str">
            <v>681110</v>
          </cell>
        </row>
        <row r="394">
          <cell r="C394" t="str">
            <v>681120</v>
          </cell>
        </row>
        <row r="395">
          <cell r="C395" t="str">
            <v>681200</v>
          </cell>
        </row>
        <row r="396">
          <cell r="C396" t="str">
            <v>681500</v>
          </cell>
        </row>
        <row r="397">
          <cell r="C397" t="str">
            <v>681610</v>
          </cell>
        </row>
        <row r="398">
          <cell r="C398" t="str">
            <v>681620</v>
          </cell>
        </row>
        <row r="399">
          <cell r="C399" t="str">
            <v>681730</v>
          </cell>
        </row>
        <row r="400">
          <cell r="C400" t="str">
            <v>681740</v>
          </cell>
        </row>
        <row r="401">
          <cell r="C401" t="str">
            <v>681800</v>
          </cell>
        </row>
        <row r="402">
          <cell r="C402" t="str">
            <v>686100</v>
          </cell>
        </row>
        <row r="403">
          <cell r="C403" t="str">
            <v>686500</v>
          </cell>
        </row>
        <row r="404">
          <cell r="C404" t="str">
            <v>686620</v>
          </cell>
        </row>
        <row r="405">
          <cell r="C405" t="str">
            <v>686650</v>
          </cell>
        </row>
        <row r="406">
          <cell r="C406" t="str">
            <v>686800</v>
          </cell>
        </row>
        <row r="407">
          <cell r="C407" t="str">
            <v>691000</v>
          </cell>
        </row>
        <row r="408">
          <cell r="C408" t="str">
            <v>695000</v>
          </cell>
        </row>
        <row r="409">
          <cell r="C409" t="str">
            <v>697000</v>
          </cell>
        </row>
        <row r="410">
          <cell r="C410" t="str">
            <v>701100</v>
          </cell>
        </row>
        <row r="411">
          <cell r="C411" t="str">
            <v>701200</v>
          </cell>
        </row>
        <row r="412">
          <cell r="C412" t="str">
            <v>702000</v>
          </cell>
        </row>
        <row r="413">
          <cell r="C413" t="str">
            <v>703000</v>
          </cell>
        </row>
        <row r="414">
          <cell r="C414" t="str">
            <v>704000</v>
          </cell>
        </row>
        <row r="415">
          <cell r="C415" t="str">
            <v>705000</v>
          </cell>
        </row>
        <row r="416">
          <cell r="C416" t="str">
            <v>706000</v>
          </cell>
        </row>
        <row r="417">
          <cell r="C417" t="str">
            <v>707000</v>
          </cell>
        </row>
        <row r="418">
          <cell r="C418" t="str">
            <v>708000</v>
          </cell>
        </row>
        <row r="419">
          <cell r="C419" t="str">
            <v>709100</v>
          </cell>
        </row>
        <row r="420">
          <cell r="C420" t="str">
            <v>709200</v>
          </cell>
        </row>
        <row r="421">
          <cell r="C421" t="str">
            <v>709400</v>
          </cell>
        </row>
        <row r="422">
          <cell r="C422" t="str">
            <v>709500</v>
          </cell>
        </row>
        <row r="423">
          <cell r="C423" t="str">
            <v>709600</v>
          </cell>
        </row>
        <row r="424">
          <cell r="C424" t="str">
            <v>709700</v>
          </cell>
        </row>
        <row r="425">
          <cell r="C425" t="str">
            <v>709800</v>
          </cell>
        </row>
        <row r="426">
          <cell r="C426" t="str">
            <v>713300</v>
          </cell>
        </row>
        <row r="427">
          <cell r="C427" t="str">
            <v>713400</v>
          </cell>
        </row>
        <row r="428">
          <cell r="C428" t="str">
            <v>713500</v>
          </cell>
        </row>
        <row r="429">
          <cell r="C429" t="str">
            <v>721000</v>
          </cell>
        </row>
        <row r="430">
          <cell r="C430" t="str">
            <v>722000</v>
          </cell>
        </row>
        <row r="431">
          <cell r="C431" t="str">
            <v>728000</v>
          </cell>
        </row>
        <row r="432">
          <cell r="C432" t="str">
            <v>731000</v>
          </cell>
        </row>
        <row r="433">
          <cell r="C433" t="str">
            <v>732000</v>
          </cell>
        </row>
        <row r="434">
          <cell r="C434" t="str">
            <v>733000</v>
          </cell>
        </row>
        <row r="435">
          <cell r="C435" t="str">
            <v>734000</v>
          </cell>
        </row>
        <row r="436">
          <cell r="C436" t="str">
            <v>735000</v>
          </cell>
        </row>
        <row r="437">
          <cell r="C437" t="str">
            <v>736000</v>
          </cell>
        </row>
        <row r="438">
          <cell r="C438" t="str">
            <v>738000</v>
          </cell>
        </row>
        <row r="439">
          <cell r="C439" t="str">
            <v>739000</v>
          </cell>
        </row>
        <row r="440">
          <cell r="C440" t="str">
            <v>741000</v>
          </cell>
        </row>
        <row r="441">
          <cell r="C441" t="str">
            <v>745000</v>
          </cell>
        </row>
        <row r="442">
          <cell r="C442" t="str">
            <v>748000</v>
          </cell>
        </row>
        <row r="443">
          <cell r="C443" t="str">
            <v>751000</v>
          </cell>
        </row>
        <row r="444">
          <cell r="C444" t="str">
            <v>752000</v>
          </cell>
        </row>
        <row r="445">
          <cell r="C445" t="str">
            <v>753000</v>
          </cell>
        </row>
        <row r="446">
          <cell r="C446" t="str">
            <v>754000</v>
          </cell>
        </row>
        <row r="447">
          <cell r="C447" t="str">
            <v>755000</v>
          </cell>
        </row>
        <row r="448">
          <cell r="C448" t="str">
            <v>756000</v>
          </cell>
        </row>
        <row r="449">
          <cell r="C449" t="str">
            <v>757000</v>
          </cell>
        </row>
        <row r="450">
          <cell r="C450" t="str">
            <v>758000</v>
          </cell>
        </row>
        <row r="451">
          <cell r="C451" t="str">
            <v>770000</v>
          </cell>
        </row>
        <row r="452">
          <cell r="C452" t="str">
            <v>781110</v>
          </cell>
        </row>
        <row r="453">
          <cell r="C453" t="str">
            <v>781120</v>
          </cell>
        </row>
        <row r="454">
          <cell r="C454" t="str">
            <v>781500</v>
          </cell>
        </row>
        <row r="455">
          <cell r="C455" t="str">
            <v>781610</v>
          </cell>
        </row>
        <row r="456">
          <cell r="C456" t="str">
            <v>781620</v>
          </cell>
        </row>
        <row r="457">
          <cell r="C457" t="str">
            <v>781730</v>
          </cell>
        </row>
        <row r="458">
          <cell r="C458" t="str">
            <v>781740</v>
          </cell>
        </row>
        <row r="459">
          <cell r="C459" t="str">
            <v>781800</v>
          </cell>
        </row>
        <row r="460">
          <cell r="C460" t="str">
            <v>786500</v>
          </cell>
        </row>
        <row r="461">
          <cell r="C461" t="str">
            <v>786600</v>
          </cell>
        </row>
        <row r="462">
          <cell r="C462" t="str">
            <v>786800</v>
          </cell>
        </row>
        <row r="463">
          <cell r="C463" t="str">
            <v>790000</v>
          </cell>
        </row>
      </sheetData>
      <sheetData sheetId="4">
        <row r="8">
          <cell r="F8">
            <v>1</v>
          </cell>
        </row>
      </sheetData>
      <sheetData sheetId="5"/>
      <sheetData sheetId="6">
        <row r="1">
          <cell r="A1" t="e">
            <v>#N/A</v>
          </cell>
        </row>
      </sheetData>
      <sheetData sheetId="7">
        <row r="6">
          <cell r="C6" t="str">
            <v>Numéro</v>
          </cell>
        </row>
      </sheetData>
      <sheetData sheetId="8">
        <row r="8">
          <cell r="F8">
            <v>1</v>
          </cell>
        </row>
      </sheetData>
      <sheetData sheetId="9"/>
      <sheetData sheetId="10">
        <row r="1">
          <cell r="A1" t="e">
            <v>#N/A</v>
          </cell>
        </row>
      </sheetData>
      <sheetData sheetId="11">
        <row r="6">
          <cell r="C6" t="str">
            <v>Numéro</v>
          </cell>
        </row>
      </sheetData>
      <sheetData sheetId="12"/>
      <sheetData sheetId="13"/>
      <sheetData sheetId="14"/>
      <sheetData sheetId="15"/>
      <sheetData sheetId="16"/>
      <sheetData sheetId="17">
        <row r="1">
          <cell r="A1" t="e">
            <v>#N/A</v>
          </cell>
        </row>
      </sheetData>
      <sheetData sheetId="18" refreshError="1"/>
      <sheetData sheetId="19"/>
      <sheetData sheetId="20">
        <row r="1">
          <cell r="A1" t="e">
            <v>#N/A</v>
          </cell>
        </row>
      </sheetData>
      <sheetData sheetId="21">
        <row r="6">
          <cell r="C6" t="str">
            <v>Numéro</v>
          </cell>
        </row>
      </sheetData>
      <sheetData sheetId="22">
        <row r="6">
          <cell r="C6" t="str">
            <v>Numéro</v>
          </cell>
        </row>
      </sheetData>
      <sheetData sheetId="23" refreshError="1"/>
      <sheetData sheetId="2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Ecritures"/>
      <sheetName val="Paramètres"/>
      <sheetName val="Menu"/>
    </sheetNames>
    <sheetDataSet>
      <sheetData sheetId="0" refreshError="1">
        <row r="3">
          <cell r="B3" t="str">
            <v>CARTHAGO</v>
          </cell>
          <cell r="E3" t="str">
            <v xml:space="preserve">0 lignes </v>
          </cell>
        </row>
        <row r="5">
          <cell r="A5" t="str">
            <v>C</v>
          </cell>
          <cell r="B5">
            <v>37257</v>
          </cell>
          <cell r="C5">
            <v>37591</v>
          </cell>
        </row>
      </sheetData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Ecritures DET"/>
      <sheetName val="Ecritures"/>
      <sheetName val="Ecritures_DET"/>
      <sheetName val="Ecritures_DET1"/>
      <sheetName val="Ecritures_DET8"/>
      <sheetName val="Ecritures_DET4"/>
      <sheetName val="Ecritures_DET2"/>
      <sheetName val="Ecritures_DET3"/>
      <sheetName val="Ecritures_DET6"/>
      <sheetName val="Ecritures_DET5"/>
      <sheetName val="Ecritures_DET7"/>
      <sheetName val="Ecritures_DET9"/>
    </sheetNames>
    <sheetDataSet>
      <sheetData sheetId="0">
        <row r="2">
          <cell r="G2" t="str">
            <v>Mvt Dbt</v>
          </cell>
        </row>
        <row r="3">
          <cell r="G3">
            <v>0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EcrituresAux"/>
      <sheetName val="Ecritures DET"/>
      <sheetName val="Ecritures"/>
      <sheetName val="Ecritures_DET"/>
      <sheetName val="Ecritures_DET1"/>
      <sheetName val="Ecritures_DET8"/>
      <sheetName val="Ecritures_DET4"/>
      <sheetName val="Ecritures_DET2"/>
      <sheetName val="Ecritures_DET3"/>
      <sheetName val="Ecritures_DET6"/>
      <sheetName val="Ecritures_DET5"/>
      <sheetName val="Ecritures_DET7"/>
      <sheetName val="Ecritures_DET9"/>
    </sheetNames>
    <sheetDataSet>
      <sheetData sheetId="0">
        <row r="2">
          <cell r="A2">
            <v>41142358</v>
          </cell>
          <cell r="B2" t="str">
            <v>Sté EZZAHIA</v>
          </cell>
        </row>
        <row r="3">
          <cell r="A3" t="str">
            <v>6464</v>
          </cell>
          <cell r="B3" t="str">
            <v>CARTHAGO</v>
          </cell>
          <cell r="E3" t="str">
            <v xml:space="preserve">0 lignes </v>
          </cell>
        </row>
        <row r="5">
          <cell r="A5" t="str">
            <v>Type</v>
          </cell>
          <cell r="B5" t="str">
            <v>Début</v>
          </cell>
          <cell r="C5" t="str">
            <v>Fin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An-und Auslaufszenario"/>
      <sheetName val="Diagramm1"/>
      <sheetName val="Diagramm2"/>
      <sheetName val="Tabelle1"/>
      <sheetName val="Business Plan BU AVW (lh)"/>
      <sheetName val="Business Plan BU AVW"/>
      <sheetName val="Nh"/>
      <sheetName val="Diagramm3"/>
      <sheetName val="Tabelle2"/>
      <sheetName val="LH NH "/>
      <sheetName val="Businessplan-Formular"/>
      <sheetName val="Nh + Mat.-Formular"/>
      <sheetName val="V+V"/>
      <sheetName val="Prämissen"/>
      <sheetName val="Kalk.Sche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76">
          <cell r="C76">
            <v>1000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Affectation Etat de flux"/>
      <sheetName val="EcrituresAux"/>
    </sheetNames>
    <sheetDataSet>
      <sheetData sheetId="0">
        <row r="1">
          <cell r="E1" t="str">
            <v>Montant</v>
          </cell>
          <cell r="F1" t="str">
            <v>Affectation flux</v>
          </cell>
        </row>
        <row r="2">
          <cell r="E2">
            <v>2.2010000000000001</v>
          </cell>
          <cell r="F2" t="str">
            <v>Recettes clients</v>
          </cell>
        </row>
        <row r="3">
          <cell r="E3">
            <v>6346.2939999999999</v>
          </cell>
          <cell r="F3" t="str">
            <v>Règlements fournisseurs d'exploitation</v>
          </cell>
        </row>
        <row r="4">
          <cell r="E4">
            <v>9224761.5590000004</v>
          </cell>
          <cell r="F4" t="str">
            <v>Recettes clients</v>
          </cell>
        </row>
        <row r="5">
          <cell r="E5">
            <v>47350.38</v>
          </cell>
          <cell r="F5" t="str">
            <v>Recettes clients</v>
          </cell>
        </row>
        <row r="6">
          <cell r="E6">
            <v>20000</v>
          </cell>
          <cell r="F6" t="str">
            <v>Recettes clients</v>
          </cell>
        </row>
        <row r="7">
          <cell r="E7">
            <v>6693.5169999999998</v>
          </cell>
          <cell r="F7" t="str">
            <v>Règlements fournisseurs d'exploitation</v>
          </cell>
        </row>
        <row r="8">
          <cell r="E8">
            <v>1500</v>
          </cell>
          <cell r="F8" t="str">
            <v>Règlements fournisseurs d'exploitation</v>
          </cell>
        </row>
        <row r="9">
          <cell r="E9">
            <v>18639.273000000001</v>
          </cell>
          <cell r="F9" t="str">
            <v>Impôts et taxes payés</v>
          </cell>
        </row>
        <row r="10">
          <cell r="E10">
            <v>7.8780000000000001</v>
          </cell>
          <cell r="F10" t="str">
            <v>Impôts et taxes payés</v>
          </cell>
        </row>
        <row r="11">
          <cell r="E11">
            <v>4155.8389999999999</v>
          </cell>
          <cell r="F11" t="str">
            <v>Règlements fournisseurs d'exploitation</v>
          </cell>
        </row>
        <row r="12">
          <cell r="E12">
            <v>6699.5640000000003</v>
          </cell>
          <cell r="F12" t="str">
            <v>Règlements fournisseurs d'exploitation</v>
          </cell>
        </row>
        <row r="13">
          <cell r="E13">
            <v>30</v>
          </cell>
          <cell r="F13" t="str">
            <v>Règlements fournisseurs d'exploitation</v>
          </cell>
        </row>
        <row r="14">
          <cell r="E14">
            <v>487000</v>
          </cell>
          <cell r="F14" t="str">
            <v>Encaisement provenant des emprunts</v>
          </cell>
        </row>
        <row r="15">
          <cell r="E15">
            <v>2041100</v>
          </cell>
          <cell r="F15" t="str">
            <v>Encaisement provenant des emprunts</v>
          </cell>
        </row>
        <row r="16">
          <cell r="E16">
            <v>6803859.0710000005</v>
          </cell>
          <cell r="F16" t="str">
            <v>Encaissement provenant de placement</v>
          </cell>
        </row>
        <row r="17">
          <cell r="E17">
            <v>2233.5149999999999</v>
          </cell>
          <cell r="F17" t="str">
            <v>Règlements fournisseurs d'exploitation</v>
          </cell>
        </row>
        <row r="18">
          <cell r="E18">
            <v>225.65</v>
          </cell>
          <cell r="F18" t="str">
            <v>Règlements fournisseurs d'exploitation</v>
          </cell>
        </row>
        <row r="19">
          <cell r="E19">
            <v>318.60000000000002</v>
          </cell>
          <cell r="F19" t="str">
            <v>Intérêt et agios payés</v>
          </cell>
        </row>
        <row r="20">
          <cell r="E20">
            <v>1576.675</v>
          </cell>
          <cell r="F20" t="str">
            <v>Règlements fournisseurs d'exploitation</v>
          </cell>
        </row>
        <row r="21">
          <cell r="E21">
            <v>7957.8370000000004</v>
          </cell>
          <cell r="F21" t="str">
            <v>Intérêt et agios payés</v>
          </cell>
        </row>
        <row r="22">
          <cell r="E22">
            <v>19627.272000000001</v>
          </cell>
          <cell r="F22" t="str">
            <v>Intérêt reçus</v>
          </cell>
        </row>
        <row r="23">
          <cell r="E23">
            <v>5006.6310000000003</v>
          </cell>
          <cell r="F23" t="str">
            <v>Recettes clients</v>
          </cell>
        </row>
        <row r="24">
          <cell r="E24">
            <v>4500</v>
          </cell>
          <cell r="F24" t="str">
            <v>Règlements fournisseurs d'exploitation</v>
          </cell>
        </row>
        <row r="25">
          <cell r="E25">
            <v>1350000</v>
          </cell>
          <cell r="F25" t="str">
            <v>Encaissements  provenant de l'emission  d'actions</v>
          </cell>
        </row>
        <row r="26">
          <cell r="E26">
            <v>5000</v>
          </cell>
          <cell r="F26" t="str">
            <v>Règlements fournisseurs d'exploitation</v>
          </cell>
        </row>
        <row r="27">
          <cell r="E27">
            <v>-4.2039999999999997</v>
          </cell>
          <cell r="F27" t="str">
            <v>Règlements fournisseurs d'exploitation</v>
          </cell>
        </row>
        <row r="28">
          <cell r="E28">
            <v>-24000</v>
          </cell>
          <cell r="F28" t="str">
            <v>Décaissement provenant de l'acquisition d'immob.</v>
          </cell>
        </row>
        <row r="29">
          <cell r="E29">
            <v>-2427.462</v>
          </cell>
          <cell r="F29" t="str">
            <v>Décaissement provenant de l'acquisition d'immob.</v>
          </cell>
        </row>
        <row r="30">
          <cell r="E30">
            <v>-2000000</v>
          </cell>
          <cell r="F30" t="str">
            <v>Décaissement provenant de l'acquisition d'immob. Fin.</v>
          </cell>
        </row>
        <row r="31">
          <cell r="E31">
            <v>-11520</v>
          </cell>
          <cell r="F31" t="str">
            <v>Décaissement provenant de l'acquisition d'immob. Fin.</v>
          </cell>
        </row>
        <row r="32">
          <cell r="E32">
            <v>-4331076.6140000001</v>
          </cell>
          <cell r="F32" t="str">
            <v>Règlements fournisseurs d'exploitation</v>
          </cell>
        </row>
        <row r="33">
          <cell r="E33">
            <v>-254230.18299999999</v>
          </cell>
          <cell r="F33" t="str">
            <v>Décaissement provenant de l'acquisition d'immob.</v>
          </cell>
        </row>
        <row r="34">
          <cell r="E34">
            <v>-311476.83399999997</v>
          </cell>
          <cell r="F34" t="str">
            <v>Règlements fournisseurs d'exploitation</v>
          </cell>
        </row>
        <row r="35">
          <cell r="E35">
            <v>-45023</v>
          </cell>
          <cell r="F35" t="str">
            <v>Recettes clients</v>
          </cell>
        </row>
        <row r="36">
          <cell r="E36">
            <v>-47350.38</v>
          </cell>
          <cell r="F36" t="str">
            <v>Recettes clients</v>
          </cell>
        </row>
        <row r="37">
          <cell r="E37">
            <v>-27346.476999999999</v>
          </cell>
          <cell r="F37" t="str">
            <v>Règlements fournisseurs d'exploitation</v>
          </cell>
        </row>
        <row r="38">
          <cell r="E38">
            <v>-1406834.777</v>
          </cell>
          <cell r="F38" t="str">
            <v>Règlements fournisseurs d'exploitation</v>
          </cell>
        </row>
        <row r="39">
          <cell r="E39">
            <v>-313179.19699999999</v>
          </cell>
          <cell r="F39" t="str">
            <v>Impôts et taxes payés</v>
          </cell>
        </row>
        <row r="40">
          <cell r="E40">
            <v>-13554.790999999999</v>
          </cell>
          <cell r="F40" t="str">
            <v>Impôts et taxes payés</v>
          </cell>
        </row>
        <row r="41">
          <cell r="E41">
            <v>-8759.5630000000001</v>
          </cell>
          <cell r="F41" t="str">
            <v>Impôts et taxes payés</v>
          </cell>
        </row>
        <row r="42">
          <cell r="E42">
            <v>-5467.5249999999996</v>
          </cell>
          <cell r="F42" t="str">
            <v>Impôts et taxes payés</v>
          </cell>
        </row>
        <row r="43">
          <cell r="E43">
            <v>-60202.366000000002</v>
          </cell>
          <cell r="F43" t="str">
            <v>Impôts et taxes payés</v>
          </cell>
        </row>
        <row r="44">
          <cell r="E44">
            <v>-148827.36900000001</v>
          </cell>
          <cell r="F44" t="str">
            <v>Impôts et taxes payés</v>
          </cell>
        </row>
        <row r="45">
          <cell r="E45">
            <v>-17547.944</v>
          </cell>
          <cell r="F45" t="str">
            <v>Impôts et taxes payés</v>
          </cell>
        </row>
        <row r="46">
          <cell r="E46">
            <v>-152307.696</v>
          </cell>
          <cell r="F46" t="str">
            <v>Impôts et taxes payés</v>
          </cell>
        </row>
        <row r="47">
          <cell r="E47">
            <v>-203.60499999999999</v>
          </cell>
          <cell r="F47" t="str">
            <v>Impôts et taxes payés</v>
          </cell>
        </row>
        <row r="48">
          <cell r="E48">
            <v>-536209.01800000004</v>
          </cell>
          <cell r="F48" t="str">
            <v>Impôts et taxes payés</v>
          </cell>
        </row>
        <row r="49">
          <cell r="E49">
            <v>-46799.966999999997</v>
          </cell>
          <cell r="F49" t="str">
            <v>Impôts et taxes payés</v>
          </cell>
        </row>
        <row r="50">
          <cell r="E50">
            <v>-906.5</v>
          </cell>
          <cell r="F50" t="str">
            <v>Impôts et taxes payés</v>
          </cell>
        </row>
        <row r="51">
          <cell r="E51">
            <v>-54.4</v>
          </cell>
          <cell r="F51" t="str">
            <v>Impôts et taxes payés</v>
          </cell>
        </row>
        <row r="52">
          <cell r="E52">
            <v>-249418.36499999999</v>
          </cell>
          <cell r="F52" t="str">
            <v>Décaissement provenant des emprunts</v>
          </cell>
        </row>
        <row r="53">
          <cell r="E53">
            <v>-425438.07699999999</v>
          </cell>
          <cell r="F53" t="str">
            <v>Décaissement provenant des emprunts</v>
          </cell>
        </row>
        <row r="54">
          <cell r="E54">
            <v>-79087.751000000004</v>
          </cell>
          <cell r="F54" t="str">
            <v>Décaissement provenant des emprunts</v>
          </cell>
        </row>
        <row r="55">
          <cell r="E55">
            <v>-1157.001</v>
          </cell>
          <cell r="F55" t="str">
            <v>Décaissement provenant des emprunts</v>
          </cell>
        </row>
        <row r="56">
          <cell r="E56">
            <v>-103000</v>
          </cell>
          <cell r="F56" t="str">
            <v>Dividendes et autres distribution</v>
          </cell>
        </row>
        <row r="57">
          <cell r="E57">
            <v>-400</v>
          </cell>
          <cell r="F57" t="str">
            <v>Règlements fournisseurs d'exploitation</v>
          </cell>
        </row>
        <row r="58">
          <cell r="E58">
            <v>-305393.25099999999</v>
          </cell>
          <cell r="F58" t="str">
            <v>Règlements fournisseurs d'exploitation</v>
          </cell>
        </row>
        <row r="59">
          <cell r="E59">
            <v>-3006.03</v>
          </cell>
          <cell r="F59" t="str">
            <v>Règlements fournisseurs d'exploitation</v>
          </cell>
        </row>
        <row r="60">
          <cell r="E60">
            <v>-10162.709000000001</v>
          </cell>
          <cell r="F60" t="str">
            <v>Règlements fournisseurs d'exploitation</v>
          </cell>
        </row>
        <row r="61">
          <cell r="E61">
            <v>-51178.892</v>
          </cell>
          <cell r="F61" t="str">
            <v>Règlements fournisseurs d'exploitation</v>
          </cell>
        </row>
        <row r="62">
          <cell r="E62">
            <v>-104926.89200000001</v>
          </cell>
          <cell r="F62" t="str">
            <v>Règlements fournisseurs d'exploitation</v>
          </cell>
        </row>
        <row r="63">
          <cell r="E63">
            <v>-30</v>
          </cell>
          <cell r="F63" t="str">
            <v>Règlements fournisseurs d'exploitation</v>
          </cell>
        </row>
        <row r="64">
          <cell r="E64">
            <v>-7426.473</v>
          </cell>
          <cell r="F64" t="str">
            <v>Règlements fournisseurs d'exploitation</v>
          </cell>
        </row>
        <row r="65">
          <cell r="E65">
            <v>-306000</v>
          </cell>
          <cell r="F65" t="str">
            <v>Décaissement provenant des emprunts</v>
          </cell>
        </row>
        <row r="66">
          <cell r="E66">
            <v>-156017.20000000001</v>
          </cell>
          <cell r="F66" t="str">
            <v>Décaissement provenant des emprunts</v>
          </cell>
        </row>
        <row r="67">
          <cell r="E67">
            <v>-150399.236</v>
          </cell>
          <cell r="F67" t="str">
            <v>Décaissement provenant des emprunts</v>
          </cell>
        </row>
        <row r="68">
          <cell r="E68">
            <v>-19114.089</v>
          </cell>
          <cell r="F68" t="str">
            <v>Intérêt et agios payés</v>
          </cell>
        </row>
        <row r="69">
          <cell r="E69">
            <v>-6825359.091</v>
          </cell>
          <cell r="F69" t="str">
            <v>Décaissement provenant de placement</v>
          </cell>
        </row>
        <row r="70">
          <cell r="E70">
            <v>-9000</v>
          </cell>
          <cell r="F70" t="str">
            <v>Règlements fournisseurs d'exploitation</v>
          </cell>
        </row>
        <row r="71">
          <cell r="E71">
            <v>-462.50299999999999</v>
          </cell>
          <cell r="F71" t="str">
            <v>Règlements fournisseurs d'exploitation</v>
          </cell>
        </row>
        <row r="72">
          <cell r="E72">
            <v>-119375.712</v>
          </cell>
          <cell r="F72" t="str">
            <v>Règlements fournisseurs d'exploitation</v>
          </cell>
        </row>
        <row r="73">
          <cell r="E73">
            <v>-1500</v>
          </cell>
          <cell r="F73" t="str">
            <v>Règlements fournisseurs d'exploitation</v>
          </cell>
        </row>
        <row r="74">
          <cell r="E74">
            <v>-9155</v>
          </cell>
          <cell r="F74" t="str">
            <v>Règlements fournisseurs d'exploitation</v>
          </cell>
        </row>
        <row r="75">
          <cell r="E75">
            <v>-33343.642999999996</v>
          </cell>
          <cell r="F75" t="str">
            <v>Règlements fournisseurs d'exploitation</v>
          </cell>
        </row>
        <row r="76">
          <cell r="E76">
            <v>-3544</v>
          </cell>
          <cell r="F76" t="str">
            <v>Règlements fournisseurs d'exploitation</v>
          </cell>
        </row>
        <row r="77">
          <cell r="E77">
            <v>-2003.384</v>
          </cell>
          <cell r="F77" t="str">
            <v>Règlements fournisseurs d'exploitation</v>
          </cell>
        </row>
        <row r="78">
          <cell r="E78">
            <v>-3316.24</v>
          </cell>
          <cell r="F78" t="str">
            <v>Règlements fournisseurs d'exploitation</v>
          </cell>
        </row>
        <row r="79">
          <cell r="E79">
            <v>-1133.0139999999999</v>
          </cell>
          <cell r="F79" t="str">
            <v>Règlements fournisseurs d'exploitation</v>
          </cell>
        </row>
        <row r="80">
          <cell r="E80">
            <v>-1511.7</v>
          </cell>
          <cell r="F80" t="str">
            <v>Règlements fournisseurs d'exploitation</v>
          </cell>
        </row>
        <row r="81">
          <cell r="E81">
            <v>-75543.437000000005</v>
          </cell>
          <cell r="F81" t="str">
            <v>Règlements fournisseurs d'exploitation</v>
          </cell>
        </row>
        <row r="82">
          <cell r="E82">
            <v>-3855</v>
          </cell>
          <cell r="F82" t="str">
            <v>Règlements fournisseurs d'exploitation</v>
          </cell>
        </row>
        <row r="83">
          <cell r="E83">
            <v>-1023.256</v>
          </cell>
          <cell r="F83" t="str">
            <v>Règlements fournisseurs d'exploitation</v>
          </cell>
        </row>
        <row r="84">
          <cell r="E84">
            <v>-1644.557</v>
          </cell>
          <cell r="F84" t="str">
            <v>Règlements fournisseurs d'exploitation</v>
          </cell>
        </row>
        <row r="85">
          <cell r="E85">
            <v>-8354.6669999999995</v>
          </cell>
          <cell r="F85" t="str">
            <v>Règlements fournisseurs d'exploitation</v>
          </cell>
        </row>
        <row r="86">
          <cell r="E86">
            <v>-13</v>
          </cell>
          <cell r="F86" t="str">
            <v>Règlements fournisseurs d'exploitation</v>
          </cell>
        </row>
        <row r="87">
          <cell r="E87">
            <v>-3455.645</v>
          </cell>
          <cell r="F87" t="str">
            <v>Règlements fournisseurs d'exploitation</v>
          </cell>
        </row>
        <row r="88">
          <cell r="E88">
            <v>-760</v>
          </cell>
          <cell r="F88" t="str">
            <v>Règlements fournisseurs d'exploitation</v>
          </cell>
        </row>
        <row r="89">
          <cell r="E89">
            <v>-22145.4</v>
          </cell>
          <cell r="F89" t="str">
            <v>Règlements fournisseurs d'exploitation</v>
          </cell>
        </row>
        <row r="90">
          <cell r="E90">
            <v>-23894.554</v>
          </cell>
          <cell r="F90" t="str">
            <v>Règlements fournisseurs d'exploitation</v>
          </cell>
        </row>
        <row r="91">
          <cell r="E91">
            <v>-4361.91</v>
          </cell>
          <cell r="F91" t="str">
            <v>Règlements fournisseurs d'exploitation</v>
          </cell>
        </row>
        <row r="92">
          <cell r="E92">
            <v>-17957.904999999999</v>
          </cell>
          <cell r="F92" t="str">
            <v>Règlements fournisseurs d'exploitation</v>
          </cell>
        </row>
        <row r="93">
          <cell r="E93">
            <v>-55.15</v>
          </cell>
          <cell r="F93" t="str">
            <v>Règlements fournisseurs d'exploitation</v>
          </cell>
        </row>
        <row r="94">
          <cell r="E94">
            <v>-489.73500000000001</v>
          </cell>
          <cell r="F94" t="str">
            <v>Règlements fournisseurs d'exploitation</v>
          </cell>
        </row>
        <row r="95">
          <cell r="E95">
            <v>-41940.5</v>
          </cell>
          <cell r="F95" t="str">
            <v>Règlements fournisseurs d'exploitation</v>
          </cell>
        </row>
        <row r="96">
          <cell r="E96">
            <v>-32694.329000000002</v>
          </cell>
          <cell r="F96" t="str">
            <v>Règlements fournisseurs d'exploitation</v>
          </cell>
        </row>
        <row r="97">
          <cell r="E97">
            <v>-19369.966</v>
          </cell>
          <cell r="F97" t="str">
            <v>Règlements fournisseurs d'exploitation</v>
          </cell>
        </row>
        <row r="98">
          <cell r="E98">
            <v>-20476.182000000001</v>
          </cell>
          <cell r="F98" t="str">
            <v>Règlements fournisseurs d'exploitation</v>
          </cell>
        </row>
        <row r="99">
          <cell r="E99">
            <v>-158818.09599999999</v>
          </cell>
          <cell r="F99" t="str">
            <v>Règlements fournisseurs d'exploitation</v>
          </cell>
        </row>
        <row r="100">
          <cell r="E100">
            <v>-1857.9749999999999</v>
          </cell>
          <cell r="F100" t="str">
            <v>Intérêt et agios payés</v>
          </cell>
        </row>
        <row r="101">
          <cell r="E101">
            <v>-7900</v>
          </cell>
          <cell r="F101" t="str">
            <v>Règlements fournisseurs d'exploitation</v>
          </cell>
        </row>
        <row r="102">
          <cell r="E102">
            <v>-9350</v>
          </cell>
          <cell r="F102" t="str">
            <v>Règlements fournisseurs d'exploitation</v>
          </cell>
        </row>
        <row r="103">
          <cell r="E103">
            <v>-26964.807000000001</v>
          </cell>
          <cell r="F103" t="str">
            <v>Règlements fournisseurs d'exploitation</v>
          </cell>
        </row>
        <row r="104">
          <cell r="E104">
            <v>-94694.641000000003</v>
          </cell>
          <cell r="F104" t="str">
            <v>Intérêt et agios payés</v>
          </cell>
        </row>
        <row r="105">
          <cell r="E105">
            <v>-64899.266000000003</v>
          </cell>
          <cell r="F105" t="str">
            <v>Intérêt et agios payés</v>
          </cell>
        </row>
        <row r="106">
          <cell r="E106">
            <v>-188901.47500000001</v>
          </cell>
          <cell r="F106" t="str">
            <v>Intérêt et agios payés</v>
          </cell>
        </row>
        <row r="107">
          <cell r="E107">
            <v>-2603.04</v>
          </cell>
          <cell r="F107" t="str">
            <v>Intérêt et agios payés</v>
          </cell>
        </row>
        <row r="108">
          <cell r="E108">
            <v>-43435.053</v>
          </cell>
          <cell r="F108" t="str">
            <v>Règlements fournisseurs d'exploitation</v>
          </cell>
        </row>
        <row r="109">
          <cell r="E109">
            <v>-216.28200000000001</v>
          </cell>
          <cell r="F109" t="str">
            <v>Impôts et taxes payés</v>
          </cell>
        </row>
        <row r="110">
          <cell r="E110">
            <v>-2457.2669999999998</v>
          </cell>
          <cell r="F110" t="str">
            <v>Impôts et taxes payés</v>
          </cell>
        </row>
        <row r="111">
          <cell r="E111">
            <v>-6356.3379999999997</v>
          </cell>
          <cell r="F111" t="str">
            <v>Impôts et taxes payés</v>
          </cell>
        </row>
        <row r="112">
          <cell r="E112">
            <v>-7915.8159999999998</v>
          </cell>
          <cell r="F112" t="str">
            <v>Impôts et taxes payés</v>
          </cell>
        </row>
        <row r="113">
          <cell r="E113">
            <v>-12696.945</v>
          </cell>
          <cell r="F113" t="str">
            <v>Impôts et taxes payés</v>
          </cell>
        </row>
        <row r="114">
          <cell r="E114">
            <v>-3200</v>
          </cell>
          <cell r="F114" t="str">
            <v>Impôts et taxes payés</v>
          </cell>
        </row>
        <row r="115">
          <cell r="E115">
            <v>-91715.317999999999</v>
          </cell>
          <cell r="F115" t="str">
            <v>Décaissement provenant des emprunts</v>
          </cell>
        </row>
        <row r="116">
          <cell r="E116">
            <v>-189763.52900000001</v>
          </cell>
          <cell r="F116" t="str">
            <v>Décaissement provenant des emprunts</v>
          </cell>
        </row>
        <row r="117">
          <cell r="E117">
            <v>-888.29499999999996</v>
          </cell>
          <cell r="F117" t="str">
            <v>Règlements fournisseurs d'exploitation</v>
          </cell>
        </row>
        <row r="118">
          <cell r="E118">
            <v>-108907.25599999999</v>
          </cell>
          <cell r="F118" t="str">
            <v>Impôts et taxes payés</v>
          </cell>
        </row>
        <row r="119">
          <cell r="E119">
            <v>-119060.427</v>
          </cell>
          <cell r="F119" t="str">
            <v>Règlements fournisseurs d'exploitation</v>
          </cell>
        </row>
        <row r="120">
          <cell r="E120">
            <v>-103215.38800000028</v>
          </cell>
        </row>
        <row r="121">
          <cell r="E121">
            <v>-103215.38800000028</v>
          </cell>
        </row>
      </sheetData>
      <sheetData sheetId="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BALANCE AU 30.06.01"/>
      <sheetName val="TAB7"/>
      <sheetName val="TAB2LU"/>
      <sheetName val="PlanComptable"/>
      <sheetName val="TOP01"/>
      <sheetName val="MENU "/>
      <sheetName val="budget"/>
    </sheetNames>
    <sheetDataSet>
      <sheetData sheetId="0">
        <row r="1">
          <cell r="E1" t="str">
            <v>SOLDE</v>
          </cell>
          <cell r="F1" t="str">
            <v>RUBRIQUE</v>
          </cell>
        </row>
        <row r="2">
          <cell r="F2" t="str">
            <v>Capital social</v>
          </cell>
        </row>
        <row r="3">
          <cell r="F3" t="str">
            <v>Résultats reportés</v>
          </cell>
        </row>
        <row r="4">
          <cell r="F4" t="str">
            <v>Résultats reportés</v>
          </cell>
        </row>
        <row r="5">
          <cell r="F5" t="str">
            <v>Emprunts</v>
          </cell>
        </row>
        <row r="6">
          <cell r="F6" t="str">
            <v>Immobilisations incorporelles</v>
          </cell>
        </row>
        <row r="7">
          <cell r="F7" t="str">
            <v>Immobilisations corporelles</v>
          </cell>
        </row>
        <row r="8">
          <cell r="F8" t="str">
            <v>Immobilisations corporelles</v>
          </cell>
        </row>
        <row r="9">
          <cell r="F9" t="str">
            <v>Moins : amortissements des immo. incorporelles</v>
          </cell>
        </row>
        <row r="10">
          <cell r="F10" t="str">
            <v>Moins : amortissements des immo. corporelles</v>
          </cell>
        </row>
        <row r="11">
          <cell r="F11" t="str">
            <v>Moins : amortissements des immo. corporelles</v>
          </cell>
        </row>
        <row r="12">
          <cell r="F12" t="str">
            <v>Moins : amortissements des immo. corporelles</v>
          </cell>
        </row>
        <row r="13">
          <cell r="F13" t="str">
            <v>Fournisseurs et comptes rattachés</v>
          </cell>
        </row>
        <row r="14">
          <cell r="F14" t="str">
            <v>Fournisseurs et comptes rattachés</v>
          </cell>
        </row>
        <row r="15">
          <cell r="F15" t="str">
            <v>Fournisseurs et comptes rattachés</v>
          </cell>
        </row>
        <row r="16">
          <cell r="F16" t="str">
            <v>Clients et comptes rattachés</v>
          </cell>
        </row>
        <row r="17">
          <cell r="F17" t="str">
            <v>Autres passifs courants</v>
          </cell>
        </row>
        <row r="18">
          <cell r="F18" t="str">
            <v>Autres actifs courants</v>
          </cell>
        </row>
        <row r="19">
          <cell r="F19" t="str">
            <v>Autres passifs courants</v>
          </cell>
        </row>
        <row r="20">
          <cell r="F20" t="str">
            <v>Autres passifs courants</v>
          </cell>
        </row>
        <row r="21">
          <cell r="F21" t="str">
            <v>Autres passifs courants</v>
          </cell>
        </row>
        <row r="22">
          <cell r="F22" t="str">
            <v>Autres passifs courants</v>
          </cell>
        </row>
        <row r="23">
          <cell r="F23" t="str">
            <v>Autres passifs courants</v>
          </cell>
        </row>
        <row r="24">
          <cell r="F24" t="str">
            <v>Autres actifs courants</v>
          </cell>
        </row>
        <row r="25">
          <cell r="F25" t="str">
            <v>Autres passifs courants</v>
          </cell>
        </row>
        <row r="26">
          <cell r="F26" t="str">
            <v>Autres actifs courants</v>
          </cell>
        </row>
        <row r="27">
          <cell r="F27" t="str">
            <v>Autres actifs courants</v>
          </cell>
        </row>
        <row r="28">
          <cell r="F28" t="str">
            <v>Autres actifs courants</v>
          </cell>
        </row>
        <row r="29">
          <cell r="F29" t="str">
            <v>Autres passifs courants</v>
          </cell>
        </row>
        <row r="30">
          <cell r="F30" t="str">
            <v>Autres passifs courants</v>
          </cell>
        </row>
        <row r="31">
          <cell r="F31" t="str">
            <v>Autres passifs courants</v>
          </cell>
        </row>
        <row r="32">
          <cell r="F32" t="str">
            <v>Autres passifs courants</v>
          </cell>
        </row>
        <row r="33">
          <cell r="F33" t="str">
            <v>Autres passifs courants</v>
          </cell>
        </row>
        <row r="34">
          <cell r="F34" t="str">
            <v>Autres actifs courants</v>
          </cell>
        </row>
        <row r="35">
          <cell r="F35" t="str">
            <v>Autres actifs courants</v>
          </cell>
        </row>
        <row r="36">
          <cell r="F36" t="str">
            <v>Autres passifs courants</v>
          </cell>
        </row>
        <row r="37">
          <cell r="F37" t="str">
            <v>Moins : provisions sur créances diverses</v>
          </cell>
        </row>
        <row r="38">
          <cell r="F38" t="str">
            <v>Concours bancaires et autres passifs financiers</v>
          </cell>
        </row>
        <row r="39">
          <cell r="F39" t="str">
            <v>Liquidités et équivalents de liquidités</v>
          </cell>
        </row>
        <row r="40">
          <cell r="F40" t="str">
            <v>Concours bancaires et autres passifs financiers</v>
          </cell>
        </row>
        <row r="41">
          <cell r="F41" t="str">
            <v>Concours bancaires et autres passifs financiers</v>
          </cell>
        </row>
        <row r="42">
          <cell r="F42" t="str">
            <v>Liquidités et équivalents de liquidités</v>
          </cell>
        </row>
        <row r="43">
          <cell r="F43" t="str">
            <v>Achats d'approvisionnements consommés</v>
          </cell>
        </row>
        <row r="44">
          <cell r="F44" t="str">
            <v>Achats d'approvisionnements consommés</v>
          </cell>
        </row>
        <row r="45">
          <cell r="F45" t="str">
            <v>Achats d'approvisionnements consommés</v>
          </cell>
        </row>
        <row r="46">
          <cell r="F46" t="str">
            <v>Achats d'approvisionnements consommés</v>
          </cell>
        </row>
        <row r="47">
          <cell r="F47" t="str">
            <v>Autres charges d'exploitation</v>
          </cell>
        </row>
        <row r="48">
          <cell r="F48" t="str">
            <v>Autres charges d'exploitation</v>
          </cell>
        </row>
        <row r="49">
          <cell r="F49" t="str">
            <v>Autres charges d'exploitation</v>
          </cell>
        </row>
        <row r="50">
          <cell r="F50" t="str">
            <v>Autres charges d'exploitation</v>
          </cell>
        </row>
        <row r="51">
          <cell r="F51" t="str">
            <v>Autres charges d'exploitation</v>
          </cell>
        </row>
        <row r="52">
          <cell r="F52" t="str">
            <v>Autres charges d'exploitation</v>
          </cell>
        </row>
        <row r="53">
          <cell r="F53" t="str">
            <v>Autres charges d'exploitation</v>
          </cell>
        </row>
        <row r="54">
          <cell r="F54" t="str">
            <v>Autres charges d'exploitation</v>
          </cell>
        </row>
        <row r="55">
          <cell r="F55" t="str">
            <v>Autres charges d'exploitation</v>
          </cell>
        </row>
        <row r="56">
          <cell r="F56" t="str">
            <v>Autres charges d'exploitation</v>
          </cell>
        </row>
        <row r="57">
          <cell r="F57" t="str">
            <v>Autres charges d'exploitation</v>
          </cell>
        </row>
        <row r="58">
          <cell r="F58" t="str">
            <v>Charges de personnel</v>
          </cell>
        </row>
        <row r="59">
          <cell r="F59" t="str">
            <v>Charges de personnel</v>
          </cell>
        </row>
        <row r="60">
          <cell r="F60" t="str">
            <v>Charges de personnel</v>
          </cell>
        </row>
        <row r="61">
          <cell r="F61" t="str">
            <v>Charges financières nettes</v>
          </cell>
        </row>
        <row r="62">
          <cell r="F62" t="str">
            <v>Autres charges d'exploitation</v>
          </cell>
        </row>
        <row r="63">
          <cell r="F63" t="str">
            <v>Autres charges d'exploitation</v>
          </cell>
        </row>
        <row r="64">
          <cell r="F64" t="str">
            <v>Autres charges d'exploitation</v>
          </cell>
        </row>
        <row r="65">
          <cell r="F65" t="str">
            <v>Autres charges d'exploitation</v>
          </cell>
        </row>
        <row r="66">
          <cell r="F66" t="str">
            <v>Autres pertes ordinaires</v>
          </cell>
        </row>
        <row r="67">
          <cell r="F67" t="str">
            <v>Dotations aux amortissements et aux  provisions</v>
          </cell>
        </row>
        <row r="68">
          <cell r="F68" t="str">
            <v>Revenus</v>
          </cell>
        </row>
        <row r="69">
          <cell r="F69" t="str">
            <v>Revenus</v>
          </cell>
        </row>
        <row r="70">
          <cell r="F70" t="str">
            <v>Autres gains ordinaires</v>
          </cell>
        </row>
        <row r="71">
          <cell r="F71" t="str">
            <v>Autres gains ordinaires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"/>
      <sheetName val="versions"/>
      <sheetName val="mat plants"/>
      <sheetName val="nh"/>
      <sheetName val="c-klasse"/>
      <sheetName val="R230"/>
      <sheetName val="SLR"/>
      <sheetName val="nfz"/>
      <sheetName val="A168"/>
      <sheetName val="BRüber"/>
      <sheetName val="mat_saison"/>
      <sheetName val="sum"/>
      <sheetName val="umsatz_saison"/>
      <sheetName val="BU DC MiFri"/>
      <sheetName val="BALANCE AU 30.06.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L"/>
      <sheetName val="Balance"/>
      <sheetName val="CapEx"/>
      <sheetName val="Paramet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Données"/>
      <sheetName val="Hypothèse (2)"/>
      <sheetName val="Tab fin "/>
      <sheetName val="Chiffre d'affaire"/>
      <sheetName val="Matière Première"/>
      <sheetName val="marge brut"/>
      <sheetName val="achats consommées"/>
      <sheetName val="Production"/>
      <sheetName val="fond de roulement"/>
      <sheetName val="SALAIRE"/>
      <sheetName val="FRAIS APPROCHE"/>
      <sheetName val="Feuil1"/>
      <sheetName val="amortissement"/>
      <sheetName val="autres charges"/>
      <sheetName val="P&amp;L"/>
      <sheetName val="VAN"/>
      <sheetName val="Processus de production"/>
      <sheetName val="frais financier"/>
      <sheetName val="INDICE DE RENTABILITE"/>
    </sheetNames>
    <sheetDataSet>
      <sheetData sheetId="0"/>
      <sheetData sheetId="1"/>
      <sheetData sheetId="2">
        <row r="14">
          <cell r="B14">
            <v>600000</v>
          </cell>
        </row>
      </sheetData>
      <sheetData sheetId="3"/>
      <sheetData sheetId="4"/>
      <sheetData sheetId="5">
        <row r="16">
          <cell r="D16">
            <v>8.9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9">
          <cell r="D39">
            <v>-277790.86</v>
          </cell>
        </row>
      </sheetData>
      <sheetData sheetId="15">
        <row r="10">
          <cell r="I10">
            <v>600000</v>
          </cell>
        </row>
      </sheetData>
      <sheetData sheetId="16"/>
      <sheetData sheetId="17"/>
      <sheetData sheetId="1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dou" refreshedDate="42379.270562731479" createdVersion="3" refreshedVersion="3" minRefreshableVersion="3" recordCount="28">
  <cacheSource type="worksheet">
    <worksheetSource ref="A2:H30" sheet="Emprunt"/>
  </cacheSource>
  <cacheFields count="8">
    <cacheField name="N°." numFmtId="0">
      <sharedItems containsSemiMixedTypes="0" containsString="0" containsNumber="1" containsInteger="1" minValue="1" maxValue="28"/>
    </cacheField>
    <cacheField name=" Date de remboursement" numFmtId="14">
      <sharedItems containsSemiMixedTypes="0" containsNonDate="0" containsDate="1" containsString="0" minDate="2016-01-01T00:00:00" maxDate="2022-08-28T00:00:00"/>
    </cacheField>
    <cacheField name="Année" numFmtId="1">
      <sharedItems containsSemiMixedTypes="0" containsString="0" containsNumber="1" containsInteger="1" minValue="2016" maxValue="2022" count="7">
        <n v="2016"/>
        <n v="2017"/>
        <n v="2018"/>
        <n v="2019"/>
        <n v="2020"/>
        <n v="2021"/>
        <n v="2022"/>
      </sharedItems>
    </cacheField>
    <cacheField name="Solde initial" numFmtId="164">
      <sharedItems containsSemiMixedTypes="0" containsString="0" containsNumber="1" containsInteger="1" minValue="17500" maxValue="420000"/>
    </cacheField>
    <cacheField name="Remboursement" numFmtId="164">
      <sharedItems containsSemiMixedTypes="0" containsString="0" containsNumber="1" minValue="8715" maxValue="26215"/>
    </cacheField>
    <cacheField name="Principal" numFmtId="164">
      <sharedItems containsSemiMixedTypes="0" containsString="0" containsNumber="1" containsInteger="1" minValue="0" maxValue="17500"/>
    </cacheField>
    <cacheField name="Interêt" numFmtId="164">
      <sharedItems containsSemiMixedTypes="0" containsString="0" containsNumber="1" minValue="363.125" maxValue="8715"/>
    </cacheField>
    <cacheField name="Solde final" numFmtId="164">
      <sharedItems containsSemiMixedTypes="0" containsString="0" containsNumber="1" containsInteger="1" minValue="0" maxValue="4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n v="1"/>
    <d v="2016-01-01T00:00:00"/>
    <x v="0"/>
    <n v="420000"/>
    <n v="8715"/>
    <n v="0"/>
    <n v="8715"/>
    <n v="420000"/>
  </r>
  <r>
    <n v="2"/>
    <d v="2016-03-31T00:00:00"/>
    <x v="0"/>
    <n v="420000"/>
    <n v="8715"/>
    <n v="0"/>
    <n v="8715"/>
    <n v="420000"/>
  </r>
  <r>
    <n v="3"/>
    <d v="2016-06-29T00:00:00"/>
    <x v="0"/>
    <n v="420000"/>
    <n v="8715"/>
    <n v="0"/>
    <n v="8715"/>
    <n v="420000"/>
  </r>
  <r>
    <n v="4"/>
    <d v="2016-09-27T00:00:00"/>
    <x v="0"/>
    <n v="420000"/>
    <n v="8715"/>
    <n v="0"/>
    <n v="8715"/>
    <n v="420000"/>
  </r>
  <r>
    <n v="5"/>
    <d v="2016-12-26T00:00:00"/>
    <x v="1"/>
    <n v="420000"/>
    <n v="26215"/>
    <n v="17500"/>
    <n v="8715"/>
    <n v="402500"/>
  </r>
  <r>
    <n v="6"/>
    <d v="2017-03-26T00:00:00"/>
    <x v="1"/>
    <n v="402500"/>
    <n v="25851.875"/>
    <n v="17500"/>
    <n v="8351.875"/>
    <n v="385000"/>
  </r>
  <r>
    <n v="7"/>
    <d v="2017-06-24T00:00:00"/>
    <x v="1"/>
    <n v="385000"/>
    <n v="25488.75"/>
    <n v="17500"/>
    <n v="7988.75"/>
    <n v="367500"/>
  </r>
  <r>
    <n v="8"/>
    <d v="2017-09-22T00:00:00"/>
    <x v="1"/>
    <n v="367500"/>
    <n v="25125.625"/>
    <n v="17500"/>
    <n v="7625.625"/>
    <n v="350000"/>
  </r>
  <r>
    <n v="9"/>
    <d v="2017-12-21T00:00:00"/>
    <x v="2"/>
    <n v="350000"/>
    <n v="24762.5"/>
    <n v="17500"/>
    <n v="7262.5"/>
    <n v="332500"/>
  </r>
  <r>
    <n v="10"/>
    <d v="2018-03-21T00:00:00"/>
    <x v="2"/>
    <n v="332500"/>
    <n v="24399.375"/>
    <n v="17500"/>
    <n v="6899.375"/>
    <n v="315000"/>
  </r>
  <r>
    <n v="11"/>
    <d v="2018-06-19T00:00:00"/>
    <x v="2"/>
    <n v="315000"/>
    <n v="24036.25"/>
    <n v="17500"/>
    <n v="6536.25"/>
    <n v="297500"/>
  </r>
  <r>
    <n v="12"/>
    <d v="2018-09-17T00:00:00"/>
    <x v="2"/>
    <n v="297500"/>
    <n v="23673.125"/>
    <n v="17500"/>
    <n v="6173.125"/>
    <n v="280000"/>
  </r>
  <r>
    <n v="13"/>
    <d v="2018-12-16T00:00:00"/>
    <x v="3"/>
    <n v="280000"/>
    <n v="23310"/>
    <n v="17500"/>
    <n v="5810"/>
    <n v="262500"/>
  </r>
  <r>
    <n v="14"/>
    <d v="2019-03-16T00:00:00"/>
    <x v="3"/>
    <n v="262500"/>
    <n v="22946.875"/>
    <n v="17500"/>
    <n v="5446.875"/>
    <n v="245000"/>
  </r>
  <r>
    <n v="15"/>
    <d v="2019-06-14T00:00:00"/>
    <x v="3"/>
    <n v="245000"/>
    <n v="22583.75"/>
    <n v="17500"/>
    <n v="5083.75"/>
    <n v="227500"/>
  </r>
  <r>
    <n v="16"/>
    <d v="2019-09-12T00:00:00"/>
    <x v="3"/>
    <n v="227500"/>
    <n v="22220.625"/>
    <n v="17500"/>
    <n v="4720.625"/>
    <n v="210000"/>
  </r>
  <r>
    <n v="17"/>
    <d v="2019-12-11T00:00:00"/>
    <x v="4"/>
    <n v="210000"/>
    <n v="21857.5"/>
    <n v="17500"/>
    <n v="4357.5"/>
    <n v="192500"/>
  </r>
  <r>
    <n v="18"/>
    <d v="2020-03-10T00:00:00"/>
    <x v="4"/>
    <n v="192500"/>
    <n v="21494.375"/>
    <n v="17500"/>
    <n v="3994.375"/>
    <n v="175000"/>
  </r>
  <r>
    <n v="19"/>
    <d v="2020-06-08T00:00:00"/>
    <x v="4"/>
    <n v="175000"/>
    <n v="21131.25"/>
    <n v="17500"/>
    <n v="3631.25"/>
    <n v="157500"/>
  </r>
  <r>
    <n v="20"/>
    <d v="2020-09-06T00:00:00"/>
    <x v="4"/>
    <n v="157500"/>
    <n v="20768.125"/>
    <n v="17500"/>
    <n v="3268.125"/>
    <n v="140000"/>
  </r>
  <r>
    <n v="21"/>
    <d v="2020-12-05T00:00:00"/>
    <x v="5"/>
    <n v="140000"/>
    <n v="20405"/>
    <n v="17500"/>
    <n v="2905"/>
    <n v="122500"/>
  </r>
  <r>
    <n v="22"/>
    <d v="2021-03-05T00:00:00"/>
    <x v="5"/>
    <n v="122500"/>
    <n v="20041.875"/>
    <n v="17500"/>
    <n v="2541.875"/>
    <n v="105000"/>
  </r>
  <r>
    <n v="23"/>
    <d v="2021-06-03T00:00:00"/>
    <x v="5"/>
    <n v="105000"/>
    <n v="19678.75"/>
    <n v="17500"/>
    <n v="2178.75"/>
    <n v="87500"/>
  </r>
  <r>
    <n v="24"/>
    <d v="2021-09-01T00:00:00"/>
    <x v="5"/>
    <n v="87500"/>
    <n v="19315.625"/>
    <n v="17500"/>
    <n v="1815.625"/>
    <n v="70000"/>
  </r>
  <r>
    <n v="25"/>
    <d v="2021-11-30T00:00:00"/>
    <x v="6"/>
    <n v="70000"/>
    <n v="18952.5"/>
    <n v="17500"/>
    <n v="1452.5"/>
    <n v="52500"/>
  </r>
  <r>
    <n v="26"/>
    <d v="2022-02-28T00:00:00"/>
    <x v="6"/>
    <n v="52500"/>
    <n v="18589.375"/>
    <n v="17500"/>
    <n v="1089.375"/>
    <n v="35000"/>
  </r>
  <r>
    <n v="27"/>
    <d v="2022-05-29T00:00:00"/>
    <x v="6"/>
    <n v="35000"/>
    <n v="18226.25"/>
    <n v="17500"/>
    <n v="726.25"/>
    <n v="17500"/>
  </r>
  <r>
    <n v="28"/>
    <d v="2022-08-27T00:00:00"/>
    <x v="6"/>
    <n v="17500"/>
    <n v="17863.125"/>
    <n v="17500"/>
    <n v="363.12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4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J15:L24" firstHeaderRow="1" firstDataRow="2" firstDataCol="1"/>
  <pivotFields count="8">
    <pivotField showAll="0"/>
    <pivotField numFmtId="14" showAll="0"/>
    <pivotField axis="axisRow"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64" showAll="0"/>
    <pivotField numFmtId="164" showAll="0"/>
    <pivotField dataField="1" numFmtId="164" showAll="0"/>
    <pivotField dataField="1" numFmtId="164" showAll="0"/>
    <pivotField numFmtId="164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Principal" fld="5" baseField="0" baseItem="0"/>
    <dataField name="Somme de Interê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opLeftCell="A36" workbookViewId="0">
      <selection activeCell="C56" sqref="C56"/>
    </sheetView>
  </sheetViews>
  <sheetFormatPr baseColWidth="10" defaultRowHeight="12"/>
  <cols>
    <col min="1" max="1" width="33.7109375" style="3" customWidth="1"/>
    <col min="2" max="2" width="12.140625" style="3" customWidth="1"/>
    <col min="3" max="3" width="18.140625" style="3" customWidth="1"/>
    <col min="4" max="4" width="15.85546875" style="3" bestFit="1" customWidth="1"/>
    <col min="5" max="5" width="38.140625" style="3" bestFit="1" customWidth="1"/>
    <col min="6" max="6" width="33.28515625" style="3" bestFit="1" customWidth="1"/>
    <col min="7" max="16384" width="11.42578125" style="3"/>
  </cols>
  <sheetData>
    <row r="1" spans="1:5">
      <c r="A1" s="15" t="s">
        <v>60</v>
      </c>
    </row>
    <row r="2" spans="1:5" s="17" customFormat="1" ht="36.75" thickBot="1">
      <c r="A2" s="16" t="s">
        <v>61</v>
      </c>
      <c r="B2" s="1" t="s">
        <v>62</v>
      </c>
      <c r="C2" s="1" t="s">
        <v>63</v>
      </c>
      <c r="D2" s="1" t="s">
        <v>64</v>
      </c>
      <c r="E2" s="1" t="s">
        <v>65</v>
      </c>
    </row>
    <row r="3" spans="1:5" ht="12.75" thickTop="1">
      <c r="A3" s="18" t="s">
        <v>66</v>
      </c>
      <c r="B3" s="3">
        <v>68</v>
      </c>
      <c r="C3" s="3">
        <f>60*6</f>
        <v>360</v>
      </c>
      <c r="D3" s="4">
        <f>+B3*C3</f>
        <v>24480</v>
      </c>
      <c r="E3" s="4">
        <f>+D3*26</f>
        <v>636480</v>
      </c>
    </row>
    <row r="4" spans="1:5">
      <c r="A4" s="18" t="s">
        <v>67</v>
      </c>
      <c r="B4" s="3">
        <v>43</v>
      </c>
      <c r="C4" s="3">
        <f>60*6</f>
        <v>360</v>
      </c>
      <c r="D4" s="4">
        <f>+B4*C4</f>
        <v>15480</v>
      </c>
      <c r="E4" s="4">
        <f>+D4*26</f>
        <v>402480</v>
      </c>
    </row>
    <row r="6" spans="1:5" ht="12.75" thickBot="1">
      <c r="A6" s="19"/>
      <c r="B6" s="19"/>
      <c r="C6" s="19"/>
      <c r="D6" s="19"/>
      <c r="E6" s="8">
        <f>SUM(E3:E5)</f>
        <v>1038960</v>
      </c>
    </row>
    <row r="7" spans="1:5" ht="12.75" thickTop="1"/>
    <row r="8" spans="1:5" ht="12.75" thickBot="1">
      <c r="A8" s="19" t="s">
        <v>68</v>
      </c>
      <c r="B8" s="19" t="s">
        <v>69</v>
      </c>
    </row>
    <row r="9" spans="1:5" ht="12.75" thickTop="1">
      <c r="A9" s="3" t="s">
        <v>70</v>
      </c>
      <c r="B9" s="20" t="s">
        <v>71</v>
      </c>
      <c r="D9" s="15"/>
    </row>
    <row r="10" spans="1:5">
      <c r="A10" s="3" t="s">
        <v>72</v>
      </c>
      <c r="B10" s="20" t="s">
        <v>71</v>
      </c>
      <c r="D10" s="15"/>
    </row>
    <row r="11" spans="1:5">
      <c r="A11" s="3" t="s">
        <v>315</v>
      </c>
      <c r="B11" s="20" t="s">
        <v>73</v>
      </c>
    </row>
    <row r="12" spans="1:5">
      <c r="A12" s="3" t="s">
        <v>316</v>
      </c>
      <c r="B12" s="20" t="s">
        <v>317</v>
      </c>
    </row>
    <row r="15" spans="1:5">
      <c r="A15" s="3" t="s">
        <v>74</v>
      </c>
    </row>
    <row r="16" spans="1:5">
      <c r="A16" s="20" t="s">
        <v>75</v>
      </c>
    </row>
    <row r="17" spans="1:4">
      <c r="A17" s="3" t="s">
        <v>326</v>
      </c>
      <c r="B17" s="3">
        <v>11</v>
      </c>
      <c r="C17" s="3">
        <f>(8900/1000)*4</f>
        <v>35.6</v>
      </c>
    </row>
    <row r="18" spans="1:4">
      <c r="A18" s="3" t="s">
        <v>76</v>
      </c>
    </row>
    <row r="19" spans="1:4">
      <c r="A19" s="3" t="s">
        <v>77</v>
      </c>
    </row>
    <row r="20" spans="1:4">
      <c r="A20" s="3" t="s">
        <v>78</v>
      </c>
      <c r="B20" s="3">
        <v>0.6</v>
      </c>
    </row>
    <row r="22" spans="1:4">
      <c r="A22" s="3" t="s">
        <v>79</v>
      </c>
    </row>
    <row r="23" spans="1:4">
      <c r="A23" s="3" t="s">
        <v>80</v>
      </c>
    </row>
    <row r="24" spans="1:4">
      <c r="A24" s="15" t="s">
        <v>81</v>
      </c>
    </row>
    <row r="25" spans="1:4">
      <c r="A25" s="3" t="s">
        <v>82</v>
      </c>
    </row>
    <row r="26" spans="1:4">
      <c r="A26" s="21" t="s">
        <v>83</v>
      </c>
    </row>
    <row r="27" spans="1:4" ht="12.75" thickBot="1">
      <c r="A27" s="22" t="s">
        <v>0</v>
      </c>
      <c r="B27" s="23" t="s">
        <v>84</v>
      </c>
      <c r="C27" s="12"/>
      <c r="D27" s="24"/>
    </row>
    <row r="28" spans="1:4" ht="12.75" thickTop="1">
      <c r="A28" s="3" t="s">
        <v>21</v>
      </c>
      <c r="B28" s="25">
        <v>2.8</v>
      </c>
      <c r="C28" s="12"/>
      <c r="D28" s="26"/>
    </row>
    <row r="29" spans="1:4">
      <c r="A29" s="3" t="s">
        <v>22</v>
      </c>
      <c r="B29" s="4">
        <v>5.0999999999999996</v>
      </c>
      <c r="C29" s="12"/>
      <c r="D29" s="26"/>
    </row>
    <row r="30" spans="1:4">
      <c r="A30" s="3" t="s">
        <v>17</v>
      </c>
      <c r="B30" s="25">
        <v>3.8</v>
      </c>
      <c r="C30" s="12"/>
      <c r="D30" s="26"/>
    </row>
    <row r="31" spans="1:4">
      <c r="A31" s="3" t="s">
        <v>23</v>
      </c>
      <c r="B31" s="4">
        <v>25</v>
      </c>
      <c r="C31" s="12"/>
      <c r="D31" s="26"/>
    </row>
    <row r="32" spans="1:4">
      <c r="A32" s="3" t="s">
        <v>85</v>
      </c>
      <c r="B32" s="4">
        <v>22</v>
      </c>
      <c r="C32" s="12"/>
      <c r="D32" s="26"/>
    </row>
    <row r="33" spans="1:6">
      <c r="A33" s="3" t="s">
        <v>24</v>
      </c>
      <c r="B33" s="4">
        <v>24</v>
      </c>
      <c r="C33" s="12"/>
      <c r="D33" s="26"/>
    </row>
    <row r="34" spans="1:6">
      <c r="A34" s="3" t="s">
        <v>86</v>
      </c>
      <c r="B34" s="4">
        <v>24</v>
      </c>
      <c r="C34" s="12"/>
      <c r="D34" s="26"/>
    </row>
    <row r="35" spans="1:6">
      <c r="A35" s="3" t="s">
        <v>20</v>
      </c>
      <c r="B35" s="4">
        <f>10*2.2183</f>
        <v>22.183</v>
      </c>
      <c r="C35" s="12"/>
      <c r="D35" s="26"/>
    </row>
    <row r="36" spans="1:6" ht="12.75" thickBot="1">
      <c r="A36" s="7"/>
      <c r="B36" s="9"/>
      <c r="C36" s="27"/>
      <c r="D36" s="26"/>
    </row>
    <row r="37" spans="1:6" ht="12.75" thickTop="1"/>
    <row r="38" spans="1:6">
      <c r="A38" s="21" t="s">
        <v>87</v>
      </c>
    </row>
    <row r="39" spans="1:6">
      <c r="A39" s="28" t="s">
        <v>88</v>
      </c>
      <c r="B39" s="28" t="s">
        <v>89</v>
      </c>
      <c r="C39" s="29"/>
      <c r="D39" s="30"/>
    </row>
    <row r="40" spans="1:6">
      <c r="A40" s="10">
        <v>100</v>
      </c>
      <c r="B40" s="10">
        <v>95</v>
      </c>
      <c r="C40" s="30"/>
      <c r="D40" s="30"/>
    </row>
    <row r="41" spans="1:6">
      <c r="A41" s="10">
        <v>50</v>
      </c>
      <c r="B41" s="10">
        <v>45</v>
      </c>
      <c r="C41" s="30"/>
      <c r="D41" s="30"/>
    </row>
    <row r="42" spans="1:6">
      <c r="A42" s="10">
        <v>400</v>
      </c>
      <c r="B42" s="10">
        <v>380</v>
      </c>
      <c r="C42" s="30"/>
      <c r="D42" s="30"/>
    </row>
    <row r="43" spans="1:6">
      <c r="A43" s="31"/>
      <c r="B43" s="31"/>
      <c r="C43" s="32"/>
      <c r="D43" s="30"/>
    </row>
    <row r="45" spans="1:6" ht="24" customHeight="1" thickBot="1">
      <c r="A45" s="33" t="s">
        <v>0</v>
      </c>
      <c r="B45" s="1" t="s">
        <v>90</v>
      </c>
      <c r="C45" s="1" t="s">
        <v>91</v>
      </c>
      <c r="D45" s="33" t="s">
        <v>3</v>
      </c>
      <c r="E45" s="372" t="s">
        <v>519</v>
      </c>
      <c r="F45" s="372" t="s">
        <v>520</v>
      </c>
    </row>
    <row r="46" spans="1:6" ht="12.75" thickTop="1">
      <c r="A46" s="3" t="s">
        <v>5</v>
      </c>
      <c r="B46" s="4">
        <v>3000</v>
      </c>
      <c r="C46" s="4">
        <f>+B46*10</f>
        <v>30000</v>
      </c>
      <c r="D46" s="4">
        <v>1</v>
      </c>
      <c r="E46" s="301" t="s">
        <v>5</v>
      </c>
      <c r="F46" s="373">
        <v>1</v>
      </c>
    </row>
    <row r="47" spans="1:6">
      <c r="A47" s="3" t="s">
        <v>6</v>
      </c>
      <c r="B47" s="4">
        <v>3000</v>
      </c>
      <c r="C47" s="4">
        <f t="shared" ref="C47:C49" si="0">+B47*10</f>
        <v>30000</v>
      </c>
      <c r="D47" s="4">
        <v>1.4</v>
      </c>
      <c r="E47" s="301" t="s">
        <v>6</v>
      </c>
      <c r="F47" s="373">
        <v>1.4</v>
      </c>
    </row>
    <row r="48" spans="1:6">
      <c r="A48" s="3" t="s">
        <v>7</v>
      </c>
      <c r="B48" s="4">
        <v>3000</v>
      </c>
      <c r="C48" s="4">
        <f t="shared" si="0"/>
        <v>30000</v>
      </c>
      <c r="D48" s="4">
        <v>1.2</v>
      </c>
      <c r="E48" s="301" t="s">
        <v>7</v>
      </c>
      <c r="F48" s="373">
        <v>1.2</v>
      </c>
    </row>
    <row r="49" spans="1:6">
      <c r="A49" s="3" t="s">
        <v>8</v>
      </c>
      <c r="B49" s="4">
        <v>1400</v>
      </c>
      <c r="C49" s="4">
        <f t="shared" si="0"/>
        <v>14000</v>
      </c>
      <c r="D49" s="4">
        <v>3.5</v>
      </c>
      <c r="E49" s="301" t="s">
        <v>8</v>
      </c>
      <c r="F49" s="373">
        <v>5</v>
      </c>
    </row>
    <row r="50" spans="1:6">
      <c r="B50" s="4"/>
      <c r="C50" s="4"/>
      <c r="D50" s="4"/>
      <c r="E50" s="361"/>
      <c r="F50" s="374"/>
    </row>
    <row r="51" spans="1:6" ht="12.75" thickBot="1">
      <c r="A51" s="7"/>
      <c r="B51" s="8">
        <f>SUM(B46:B50)</f>
        <v>10400</v>
      </c>
      <c r="C51" s="8">
        <f>SUM(C46:C50)</f>
        <v>104000</v>
      </c>
      <c r="D51" s="9"/>
      <c r="E51" s="375"/>
      <c r="F51" s="376"/>
    </row>
    <row r="52" spans="1:6" ht="12.75" thickTop="1"/>
    <row r="53" spans="1:6">
      <c r="A53" s="15" t="s">
        <v>208</v>
      </c>
      <c r="B53" s="11"/>
    </row>
    <row r="54" spans="1:6">
      <c r="A54" s="3" t="s">
        <v>18</v>
      </c>
      <c r="B54" s="11">
        <v>100000</v>
      </c>
    </row>
    <row r="55" spans="1:6">
      <c r="B55" s="11"/>
    </row>
    <row r="56" spans="1:6">
      <c r="A56" s="3" t="s">
        <v>25</v>
      </c>
      <c r="B56" s="11">
        <f>+B54+(B54/288*10)</f>
        <v>103472.22222222222</v>
      </c>
      <c r="C56" s="3" t="s">
        <v>26</v>
      </c>
    </row>
    <row r="57" spans="1:6">
      <c r="B57" s="11"/>
    </row>
    <row r="58" spans="1:6">
      <c r="A58" s="3" t="s">
        <v>27</v>
      </c>
      <c r="B58" s="11">
        <f>+B56*1.08333333333333</f>
        <v>112094.90740740705</v>
      </c>
      <c r="C58" s="3" t="s">
        <v>28</v>
      </c>
    </row>
    <row r="59" spans="1:6">
      <c r="A59" s="3" t="s">
        <v>29</v>
      </c>
      <c r="B59" s="11">
        <f>+(B56*60/1000)*13/12</f>
        <v>6725.6944444444443</v>
      </c>
      <c r="C59" s="3" t="s">
        <v>30</v>
      </c>
    </row>
    <row r="60" spans="1:6">
      <c r="A60" s="3" t="s">
        <v>31</v>
      </c>
      <c r="B60" s="11">
        <f>+(B56*50/1000)*13/12</f>
        <v>5604.7453703703713</v>
      </c>
      <c r="C60" s="3" t="s">
        <v>32</v>
      </c>
    </row>
    <row r="61" spans="1:6">
      <c r="A61" s="3" t="s">
        <v>33</v>
      </c>
      <c r="B61" s="11"/>
    </row>
    <row r="62" spans="1:6">
      <c r="A62" s="3" t="s">
        <v>34</v>
      </c>
      <c r="B62" s="11"/>
    </row>
    <row r="63" spans="1:6">
      <c r="A63" s="3" t="s">
        <v>35</v>
      </c>
      <c r="B63" s="11"/>
    </row>
    <row r="67" spans="1:3">
      <c r="A67" s="3" t="s">
        <v>36</v>
      </c>
      <c r="B67" s="11">
        <f>+B56-B54</f>
        <v>3472.222222222219</v>
      </c>
      <c r="C67" s="3" t="s">
        <v>37</v>
      </c>
    </row>
    <row r="68" spans="1:3">
      <c r="A68" s="3" t="s">
        <v>38</v>
      </c>
      <c r="B68" s="11">
        <f>+B58-B56</f>
        <v>8622.6851851848332</v>
      </c>
      <c r="C68" s="3" t="s">
        <v>39</v>
      </c>
    </row>
    <row r="69" spans="1:3">
      <c r="A69" s="3" t="s">
        <v>40</v>
      </c>
      <c r="B69" s="11">
        <f>+B59/13</f>
        <v>517.36111111111109</v>
      </c>
      <c r="C69" s="3" t="s">
        <v>39</v>
      </c>
    </row>
    <row r="70" spans="1:3">
      <c r="A70" s="3" t="s">
        <v>41</v>
      </c>
      <c r="B70" s="11">
        <f>+B60/13</f>
        <v>431.13425925925935</v>
      </c>
      <c r="C70" s="3" t="s">
        <v>39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D13"/>
  <sheetViews>
    <sheetView workbookViewId="0">
      <selection activeCell="A13" sqref="A13"/>
    </sheetView>
  </sheetViews>
  <sheetFormatPr baseColWidth="10" defaultRowHeight="12"/>
  <cols>
    <col min="1" max="1" width="30.85546875" style="3" bestFit="1" customWidth="1"/>
    <col min="2" max="6" width="11.42578125" style="3"/>
    <col min="7" max="7" width="13.28515625" style="3" bestFit="1" customWidth="1"/>
    <col min="8" max="16384" width="11.42578125" style="3"/>
  </cols>
  <sheetData>
    <row r="2" spans="1:4">
      <c r="A2" s="164" t="s">
        <v>296</v>
      </c>
    </row>
    <row r="3" spans="1:4">
      <c r="A3" s="3" t="s">
        <v>297</v>
      </c>
    </row>
    <row r="4" spans="1:4">
      <c r="A4" s="3" t="s">
        <v>298</v>
      </c>
    </row>
    <row r="5" spans="1:4">
      <c r="A5" s="3" t="s">
        <v>299</v>
      </c>
    </row>
    <row r="7" spans="1:4" ht="48">
      <c r="A7" s="178" t="s">
        <v>308</v>
      </c>
    </row>
    <row r="9" spans="1:4">
      <c r="A9" s="3" t="s">
        <v>374</v>
      </c>
    </row>
    <row r="10" spans="1:4">
      <c r="A10" s="3" t="s">
        <v>376</v>
      </c>
      <c r="D10" s="3">
        <f>320/310</f>
        <v>1.032258064516129</v>
      </c>
    </row>
    <row r="11" spans="1:4">
      <c r="A11" s="3" t="s">
        <v>377</v>
      </c>
    </row>
    <row r="12" spans="1:4">
      <c r="A12" s="3" t="s">
        <v>378</v>
      </c>
    </row>
    <row r="13" spans="1:4">
      <c r="A13" s="3" t="s">
        <v>379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D7"/>
  <sheetViews>
    <sheetView workbookViewId="0">
      <selection activeCell="A3" sqref="A3:C6"/>
    </sheetView>
  </sheetViews>
  <sheetFormatPr baseColWidth="10" defaultRowHeight="15"/>
  <cols>
    <col min="1" max="1" width="20.7109375" style="14" bestFit="1" customWidth="1"/>
    <col min="2" max="2" width="7.42578125" style="14" bestFit="1" customWidth="1"/>
    <col min="3" max="3" width="4.5703125" style="14" bestFit="1" customWidth="1"/>
    <col min="4" max="4" width="11.7109375" style="14" bestFit="1" customWidth="1"/>
  </cols>
  <sheetData>
    <row r="3" spans="1:4" ht="15.75" thickBot="1">
      <c r="A3" s="305" t="s">
        <v>434</v>
      </c>
      <c r="B3" s="305" t="s">
        <v>435</v>
      </c>
      <c r="C3" s="305" t="s">
        <v>531</v>
      </c>
    </row>
    <row r="4" spans="1:4" ht="15.75" thickTop="1">
      <c r="A4" s="352" t="s">
        <v>436</v>
      </c>
      <c r="B4" s="353">
        <v>180000</v>
      </c>
      <c r="C4" s="354">
        <f>+B4/$B$6</f>
        <v>0.3</v>
      </c>
    </row>
    <row r="5" spans="1:4">
      <c r="A5" s="355" t="s">
        <v>437</v>
      </c>
      <c r="B5" s="356">
        <v>420000</v>
      </c>
      <c r="C5" s="354">
        <f>+B5/$B$6</f>
        <v>0.7</v>
      </c>
    </row>
    <row r="6" spans="1:4" s="254" customFormat="1">
      <c r="A6" s="418" t="s">
        <v>59</v>
      </c>
      <c r="B6" s="419">
        <f>SUM(B4:B5)</f>
        <v>600000</v>
      </c>
      <c r="C6" s="418"/>
      <c r="D6" s="420"/>
    </row>
    <row r="7" spans="1:4">
      <c r="B7" s="270">
        <f>+B6-Investissements!C32</f>
        <v>-6.4428897108882666E-2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3:N65"/>
  <sheetViews>
    <sheetView workbookViewId="0">
      <selection activeCell="A3" sqref="A3:L11"/>
    </sheetView>
  </sheetViews>
  <sheetFormatPr baseColWidth="10" defaultRowHeight="12"/>
  <cols>
    <col min="1" max="1" width="38.28515625" style="3" bestFit="1" customWidth="1"/>
    <col min="2" max="2" width="11.42578125" style="3"/>
    <col min="3" max="3" width="13.5703125" style="3" customWidth="1"/>
    <col min="4" max="4" width="11" style="4" bestFit="1" customWidth="1"/>
    <col min="5" max="5" width="11" style="4" customWidth="1"/>
    <col min="6" max="6" width="12.5703125" style="3" bestFit="1" customWidth="1"/>
    <col min="7" max="7" width="13.85546875" style="3" bestFit="1" customWidth="1"/>
    <col min="8" max="8" width="14.140625" style="3" bestFit="1" customWidth="1"/>
    <col min="9" max="10" width="5.7109375" style="3" bestFit="1" customWidth="1"/>
    <col min="11" max="12" width="5.7109375" style="3" customWidth="1"/>
    <col min="13" max="13" width="9.42578125" style="3" bestFit="1" customWidth="1"/>
    <col min="14" max="14" width="6.5703125" style="3" bestFit="1" customWidth="1"/>
    <col min="15" max="16384" width="11.42578125" style="3"/>
  </cols>
  <sheetData>
    <row r="3" spans="1:14" s="207" customFormat="1" ht="12.75" thickBot="1">
      <c r="A3" s="305" t="s">
        <v>310</v>
      </c>
      <c r="B3" s="305" t="s">
        <v>393</v>
      </c>
      <c r="C3" s="306" t="s">
        <v>111</v>
      </c>
      <c r="D3" s="424"/>
      <c r="E3" s="424"/>
      <c r="F3" s="425">
        <v>2016</v>
      </c>
      <c r="G3" s="425">
        <v>2017</v>
      </c>
      <c r="H3" s="425">
        <v>2018</v>
      </c>
      <c r="I3" s="425">
        <v>2019</v>
      </c>
      <c r="J3" s="425">
        <v>2020</v>
      </c>
      <c r="K3" s="425">
        <v>2021</v>
      </c>
      <c r="L3" s="425">
        <v>2022</v>
      </c>
      <c r="M3" s="424" t="s">
        <v>372</v>
      </c>
      <c r="N3" s="305" t="s">
        <v>371</v>
      </c>
    </row>
    <row r="4" spans="1:14" s="207" customFormat="1" ht="12.75" thickTop="1">
      <c r="A4" s="301" t="s">
        <v>421</v>
      </c>
      <c r="B4" s="426">
        <f>+C22</f>
        <v>5000</v>
      </c>
      <c r="C4" s="427">
        <v>0.33329999999999999</v>
      </c>
      <c r="D4" s="426"/>
      <c r="E4" s="426"/>
      <c r="F4" s="426">
        <f t="shared" ref="F4:F10" si="0">+B4*C4</f>
        <v>1666.5</v>
      </c>
      <c r="G4" s="426">
        <f>+F4</f>
        <v>1666.5</v>
      </c>
      <c r="H4" s="426">
        <f>+G4+0.5</f>
        <v>1667</v>
      </c>
      <c r="I4" s="426">
        <v>0</v>
      </c>
      <c r="J4" s="426">
        <v>0</v>
      </c>
      <c r="K4" s="426">
        <v>0</v>
      </c>
      <c r="L4" s="426">
        <v>0</v>
      </c>
      <c r="M4" s="426">
        <f>+SUM(F4:L4)</f>
        <v>5000</v>
      </c>
      <c r="N4" s="362">
        <f t="shared" ref="N4:N10" si="1">+B4-M4</f>
        <v>0</v>
      </c>
    </row>
    <row r="5" spans="1:14" s="207" customFormat="1">
      <c r="A5" s="301" t="s">
        <v>394</v>
      </c>
      <c r="B5" s="426">
        <f>+C24</f>
        <v>26358.5</v>
      </c>
      <c r="C5" s="428">
        <v>0.1</v>
      </c>
      <c r="D5" s="426"/>
      <c r="E5" s="426"/>
      <c r="F5" s="426">
        <f t="shared" si="0"/>
        <v>2635.8500000000004</v>
      </c>
      <c r="G5" s="426">
        <f t="shared" ref="G5:J5" si="2">+F5</f>
        <v>2635.8500000000004</v>
      </c>
      <c r="H5" s="426">
        <f t="shared" si="2"/>
        <v>2635.8500000000004</v>
      </c>
      <c r="I5" s="426">
        <f t="shared" si="2"/>
        <v>2635.8500000000004</v>
      </c>
      <c r="J5" s="426">
        <f t="shared" si="2"/>
        <v>2635.8500000000004</v>
      </c>
      <c r="K5" s="426">
        <f t="shared" ref="K5" si="3">+J5</f>
        <v>2635.8500000000004</v>
      </c>
      <c r="L5" s="426">
        <f t="shared" ref="L5" si="4">+K5</f>
        <v>2635.8500000000004</v>
      </c>
      <c r="M5" s="426">
        <f t="shared" ref="M5:M9" si="5">+SUM(F5:L5)</f>
        <v>18450.950000000004</v>
      </c>
      <c r="N5" s="362">
        <f t="shared" si="1"/>
        <v>7907.5499999999956</v>
      </c>
    </row>
    <row r="6" spans="1:14" s="207" customFormat="1">
      <c r="A6" s="301" t="s">
        <v>401</v>
      </c>
      <c r="B6" s="426">
        <f>+C25</f>
        <v>253709.4</v>
      </c>
      <c r="C6" s="428">
        <v>0.1</v>
      </c>
      <c r="D6" s="426"/>
      <c r="E6" s="426"/>
      <c r="F6" s="426">
        <f t="shared" si="0"/>
        <v>25370.940000000002</v>
      </c>
      <c r="G6" s="426">
        <f t="shared" ref="G6:G10" si="6">+F6</f>
        <v>25370.940000000002</v>
      </c>
      <c r="H6" s="426">
        <f t="shared" ref="H6:H9" si="7">+G6</f>
        <v>25370.940000000002</v>
      </c>
      <c r="I6" s="426">
        <f t="shared" ref="I6:I9" si="8">+H6</f>
        <v>25370.940000000002</v>
      </c>
      <c r="J6" s="426">
        <f t="shared" ref="J6:J9" si="9">+I6</f>
        <v>25370.940000000002</v>
      </c>
      <c r="K6" s="426">
        <f>+J6</f>
        <v>25370.940000000002</v>
      </c>
      <c r="L6" s="426">
        <f>+K6</f>
        <v>25370.940000000002</v>
      </c>
      <c r="M6" s="426">
        <f t="shared" si="5"/>
        <v>177596.58000000002</v>
      </c>
      <c r="N6" s="362">
        <f t="shared" si="1"/>
        <v>76112.819999999978</v>
      </c>
    </row>
    <row r="7" spans="1:14" s="207" customFormat="1">
      <c r="A7" s="301" t="s">
        <v>112</v>
      </c>
      <c r="B7" s="426">
        <f>+C26</f>
        <v>97000</v>
      </c>
      <c r="C7" s="428">
        <v>0.2</v>
      </c>
      <c r="D7" s="426"/>
      <c r="E7" s="426"/>
      <c r="F7" s="426">
        <f t="shared" si="0"/>
        <v>19400</v>
      </c>
      <c r="G7" s="426">
        <f t="shared" si="6"/>
        <v>19400</v>
      </c>
      <c r="H7" s="426">
        <f t="shared" si="7"/>
        <v>19400</v>
      </c>
      <c r="I7" s="426">
        <f t="shared" si="8"/>
        <v>19400</v>
      </c>
      <c r="J7" s="426">
        <f t="shared" si="9"/>
        <v>19400</v>
      </c>
      <c r="K7" s="426">
        <v>0</v>
      </c>
      <c r="L7" s="426">
        <v>0</v>
      </c>
      <c r="M7" s="426">
        <f t="shared" si="5"/>
        <v>97000</v>
      </c>
      <c r="N7" s="362">
        <f t="shared" si="1"/>
        <v>0</v>
      </c>
    </row>
    <row r="8" spans="1:14" s="207" customFormat="1">
      <c r="A8" s="301" t="s">
        <v>409</v>
      </c>
      <c r="B8" s="426">
        <f>+C27</f>
        <v>12000</v>
      </c>
      <c r="C8" s="428">
        <v>0.1</v>
      </c>
      <c r="D8" s="426"/>
      <c r="E8" s="426"/>
      <c r="F8" s="426">
        <f t="shared" si="0"/>
        <v>1200</v>
      </c>
      <c r="G8" s="426">
        <f t="shared" si="6"/>
        <v>1200</v>
      </c>
      <c r="H8" s="426">
        <f t="shared" si="7"/>
        <v>1200</v>
      </c>
      <c r="I8" s="426">
        <f t="shared" si="8"/>
        <v>1200</v>
      </c>
      <c r="J8" s="426">
        <f t="shared" si="9"/>
        <v>1200</v>
      </c>
      <c r="K8" s="426">
        <f t="shared" ref="K8:K9" si="10">+J8</f>
        <v>1200</v>
      </c>
      <c r="L8" s="426">
        <f t="shared" ref="L8:L9" si="11">+K8</f>
        <v>1200</v>
      </c>
      <c r="M8" s="426">
        <f t="shared" si="5"/>
        <v>8400</v>
      </c>
      <c r="N8" s="362">
        <f t="shared" si="1"/>
        <v>3600</v>
      </c>
    </row>
    <row r="9" spans="1:14" s="207" customFormat="1">
      <c r="A9" s="301" t="s">
        <v>399</v>
      </c>
      <c r="B9" s="426">
        <f>+C28</f>
        <v>3500</v>
      </c>
      <c r="C9" s="428">
        <v>0.1</v>
      </c>
      <c r="D9" s="426"/>
      <c r="E9" s="426"/>
      <c r="F9" s="426">
        <f t="shared" si="0"/>
        <v>350</v>
      </c>
      <c r="G9" s="426">
        <f t="shared" si="6"/>
        <v>350</v>
      </c>
      <c r="H9" s="426">
        <f t="shared" si="7"/>
        <v>350</v>
      </c>
      <c r="I9" s="426">
        <f t="shared" si="8"/>
        <v>350</v>
      </c>
      <c r="J9" s="426">
        <f t="shared" si="9"/>
        <v>350</v>
      </c>
      <c r="K9" s="426">
        <f t="shared" si="10"/>
        <v>350</v>
      </c>
      <c r="L9" s="426">
        <f t="shared" si="11"/>
        <v>350</v>
      </c>
      <c r="M9" s="426">
        <f t="shared" si="5"/>
        <v>2450</v>
      </c>
      <c r="N9" s="362">
        <f t="shared" si="1"/>
        <v>1050</v>
      </c>
    </row>
    <row r="10" spans="1:14" s="207" customFormat="1">
      <c r="A10" s="301" t="s">
        <v>304</v>
      </c>
      <c r="B10" s="429">
        <f>+C30</f>
        <v>20500</v>
      </c>
      <c r="C10" s="427">
        <v>0.33329999999999999</v>
      </c>
      <c r="D10" s="426"/>
      <c r="E10" s="426"/>
      <c r="F10" s="426">
        <f t="shared" si="0"/>
        <v>6832.65</v>
      </c>
      <c r="G10" s="426">
        <f t="shared" si="6"/>
        <v>6832.65</v>
      </c>
      <c r="H10" s="426">
        <f>+B10-(F10+G10)</f>
        <v>6834.7000000000007</v>
      </c>
      <c r="I10" s="426">
        <v>0</v>
      </c>
      <c r="J10" s="426">
        <v>0</v>
      </c>
      <c r="K10" s="426">
        <v>0</v>
      </c>
      <c r="L10" s="426">
        <v>0</v>
      </c>
      <c r="M10" s="426">
        <f>+SUM(F10:L10)</f>
        <v>20500</v>
      </c>
      <c r="N10" s="362">
        <f t="shared" si="1"/>
        <v>0</v>
      </c>
    </row>
    <row r="11" spans="1:14" s="207" customFormat="1">
      <c r="A11" s="357"/>
      <c r="B11" s="430">
        <f>SUM(B4:B10)</f>
        <v>418067.9</v>
      </c>
      <c r="C11" s="431"/>
      <c r="D11" s="430"/>
      <c r="E11" s="430"/>
      <c r="F11" s="430">
        <f t="shared" ref="F11:M11" si="12">SUM(F5:F10)</f>
        <v>55789.440000000002</v>
      </c>
      <c r="G11" s="430">
        <f t="shared" si="12"/>
        <v>55789.440000000002</v>
      </c>
      <c r="H11" s="430">
        <f t="shared" si="12"/>
        <v>55791.490000000005</v>
      </c>
      <c r="I11" s="430">
        <f t="shared" si="12"/>
        <v>48956.79</v>
      </c>
      <c r="J11" s="430">
        <f t="shared" si="12"/>
        <v>48956.79</v>
      </c>
      <c r="K11" s="430">
        <f t="shared" si="12"/>
        <v>29556.79</v>
      </c>
      <c r="L11" s="430">
        <f t="shared" si="12"/>
        <v>29556.79</v>
      </c>
      <c r="M11" s="430">
        <f t="shared" si="12"/>
        <v>324397.53000000003</v>
      </c>
      <c r="N11" s="430">
        <f>SUM(N5:N10)</f>
        <v>88670.369999999966</v>
      </c>
    </row>
    <row r="13" spans="1:14" hidden="1">
      <c r="A13" s="3" t="s">
        <v>327</v>
      </c>
      <c r="F13" s="75" t="e">
        <f>+#REF!</f>
        <v>#REF!</v>
      </c>
      <c r="G13" s="75" t="e">
        <f>+#REF!</f>
        <v>#REF!</v>
      </c>
      <c r="H13" s="75" t="e">
        <f>+#REF!</f>
        <v>#REF!</v>
      </c>
      <c r="I13" s="75" t="e">
        <f>+#REF!</f>
        <v>#REF!</v>
      </c>
      <c r="J13" s="75" t="e">
        <f>+#REF!</f>
        <v>#REF!</v>
      </c>
      <c r="K13" s="75"/>
      <c r="L13" s="75"/>
      <c r="M13" s="75"/>
    </row>
    <row r="14" spans="1:14" hidden="1"/>
    <row r="15" spans="1:14" hidden="1">
      <c r="A15" s="3" t="s">
        <v>328</v>
      </c>
      <c r="F15" s="4" t="e">
        <f>+F6/F13</f>
        <v>#REF!</v>
      </c>
      <c r="G15" s="4" t="e">
        <f t="shared" ref="G15:J15" si="13">+G6/G13</f>
        <v>#REF!</v>
      </c>
      <c r="H15" s="4" t="e">
        <f t="shared" si="13"/>
        <v>#REF!</v>
      </c>
      <c r="I15" s="4" t="e">
        <f t="shared" si="13"/>
        <v>#REF!</v>
      </c>
      <c r="J15" s="4" t="e">
        <f t="shared" si="13"/>
        <v>#REF!</v>
      </c>
      <c r="K15" s="4"/>
      <c r="L15" s="4"/>
      <c r="M15" s="4"/>
    </row>
    <row r="16" spans="1:14" hidden="1"/>
    <row r="17" spans="1:7" hidden="1">
      <c r="A17" s="116" t="s">
        <v>285</v>
      </c>
    </row>
    <row r="18" spans="1:7" hidden="1">
      <c r="A18" s="116" t="s">
        <v>286</v>
      </c>
    </row>
    <row r="19" spans="1:7" hidden="1">
      <c r="A19" s="116" t="s">
        <v>287</v>
      </c>
    </row>
    <row r="21" spans="1:7" ht="12.75" thickBot="1">
      <c r="A21" s="305" t="s">
        <v>310</v>
      </c>
      <c r="B21" s="305"/>
      <c r="C21" s="305" t="s">
        <v>393</v>
      </c>
      <c r="D21" s="306" t="s">
        <v>99</v>
      </c>
      <c r="E21" s="338"/>
    </row>
    <row r="22" spans="1:7" ht="12.75" thickTop="1">
      <c r="A22" s="301" t="s">
        <v>421</v>
      </c>
      <c r="B22" s="301"/>
      <c r="C22" s="302">
        <v>5000</v>
      </c>
      <c r="D22" s="416">
        <f t="shared" ref="D22:D32" si="14">+C22/$C$32</f>
        <v>8.3333324384876357E-3</v>
      </c>
      <c r="E22" s="302"/>
    </row>
    <row r="23" spans="1:7">
      <c r="A23" s="303" t="s">
        <v>397</v>
      </c>
      <c r="B23" s="303"/>
      <c r="C23" s="304">
        <f>SUM(C22)</f>
        <v>5000</v>
      </c>
      <c r="D23" s="417">
        <f t="shared" si="14"/>
        <v>8.3333324384876357E-3</v>
      </c>
      <c r="E23" s="339"/>
    </row>
    <row r="24" spans="1:7">
      <c r="A24" s="301" t="s">
        <v>394</v>
      </c>
      <c r="B24" s="301"/>
      <c r="C24" s="302">
        <f>+D54</f>
        <v>26358.5</v>
      </c>
      <c r="D24" s="416">
        <f t="shared" si="14"/>
        <v>4.3930828615975269E-2</v>
      </c>
      <c r="E24" s="302"/>
    </row>
    <row r="25" spans="1:7">
      <c r="A25" s="301" t="s">
        <v>401</v>
      </c>
      <c r="B25" s="301"/>
      <c r="C25" s="302">
        <f>+D40</f>
        <v>253709.4</v>
      </c>
      <c r="D25" s="416">
        <f t="shared" si="14"/>
        <v>0.42284895459384703</v>
      </c>
      <c r="E25" s="302"/>
    </row>
    <row r="26" spans="1:7">
      <c r="A26" s="301" t="s">
        <v>395</v>
      </c>
      <c r="B26" s="301"/>
      <c r="C26" s="302">
        <f>+D45</f>
        <v>97000</v>
      </c>
      <c r="D26" s="416">
        <f t="shared" si="14"/>
        <v>0.16166664930666014</v>
      </c>
      <c r="E26" s="302"/>
    </row>
    <row r="27" spans="1:7">
      <c r="A27" s="301" t="s">
        <v>409</v>
      </c>
      <c r="B27" s="301"/>
      <c r="C27" s="302">
        <v>12000</v>
      </c>
      <c r="D27" s="416">
        <f t="shared" si="14"/>
        <v>1.9999997852370326E-2</v>
      </c>
      <c r="E27" s="302"/>
    </row>
    <row r="28" spans="1:7">
      <c r="A28" s="301" t="s">
        <v>399</v>
      </c>
      <c r="B28" s="301"/>
      <c r="C28" s="302">
        <v>3500</v>
      </c>
      <c r="D28" s="416">
        <f t="shared" si="14"/>
        <v>5.833332706941345E-3</v>
      </c>
      <c r="E28" s="302"/>
    </row>
    <row r="29" spans="1:7">
      <c r="A29" s="303" t="s">
        <v>396</v>
      </c>
      <c r="B29" s="303"/>
      <c r="C29" s="304">
        <f>SUM(C24:C28)</f>
        <v>392567.9</v>
      </c>
      <c r="D29" s="417">
        <f t="shared" si="14"/>
        <v>0.65427976307579416</v>
      </c>
      <c r="E29" s="339"/>
      <c r="F29" s="75"/>
    </row>
    <row r="30" spans="1:7">
      <c r="A30" s="301" t="s">
        <v>304</v>
      </c>
      <c r="B30" s="301"/>
      <c r="C30" s="302">
        <f>+D61</f>
        <v>20500</v>
      </c>
      <c r="D30" s="416">
        <f t="shared" si="14"/>
        <v>3.4166662997799309E-2</v>
      </c>
      <c r="E30" s="302"/>
    </row>
    <row r="31" spans="1:7">
      <c r="A31" s="301" t="s">
        <v>398</v>
      </c>
      <c r="B31" s="301"/>
      <c r="C31" s="302">
        <f>+ACTIFS!D27+ACTIFS!D31+ACTIFS!D35-PASSIFS!D34-PASSIFS!D35</f>
        <v>181932.16442889714</v>
      </c>
      <c r="D31" s="416">
        <f t="shared" si="14"/>
        <v>0.30322024148791898</v>
      </c>
      <c r="E31" s="301"/>
      <c r="F31" s="283">
        <f>+C31/TVA!D3*360</f>
        <v>35.464525453705271</v>
      </c>
      <c r="G31" s="264" t="s">
        <v>433</v>
      </c>
    </row>
    <row r="32" spans="1:7">
      <c r="A32" s="303" t="s">
        <v>59</v>
      </c>
      <c r="B32" s="303"/>
      <c r="C32" s="304">
        <f>++C31+C30+C29+C23</f>
        <v>600000.06442889711</v>
      </c>
      <c r="D32" s="417">
        <f t="shared" si="14"/>
        <v>1</v>
      </c>
      <c r="E32" s="339"/>
    </row>
    <row r="34" spans="1:9" ht="24.75" thickBot="1">
      <c r="A34" s="305" t="s">
        <v>401</v>
      </c>
      <c r="B34" s="305" t="s">
        <v>408</v>
      </c>
      <c r="C34" s="305" t="s">
        <v>400</v>
      </c>
      <c r="D34" s="305" t="s">
        <v>393</v>
      </c>
      <c r="E34" s="306" t="s">
        <v>99</v>
      </c>
      <c r="F34" s="260" t="s">
        <v>428</v>
      </c>
      <c r="G34" s="260" t="s">
        <v>445</v>
      </c>
      <c r="H34" s="260" t="s">
        <v>444</v>
      </c>
    </row>
    <row r="35" spans="1:9" ht="12.75" thickTop="1">
      <c r="A35" s="301" t="s">
        <v>402</v>
      </c>
      <c r="B35" s="302">
        <v>1</v>
      </c>
      <c r="C35" s="302">
        <v>53000</v>
      </c>
      <c r="D35" s="302">
        <f>+C35*2.083</f>
        <v>110399.00000000001</v>
      </c>
      <c r="E35" s="342">
        <f>+D35/$D$40</f>
        <v>0.43513957307060763</v>
      </c>
      <c r="F35" s="75">
        <f>6*60</f>
        <v>360</v>
      </c>
      <c r="G35" s="75">
        <f>+F35*8*26*12</f>
        <v>898560</v>
      </c>
      <c r="H35" s="75">
        <f>+'Consommations Q'!$C$11</f>
        <v>133285.16129032258</v>
      </c>
      <c r="I35" s="58">
        <f>+H35/G35</f>
        <v>0.14833195478356767</v>
      </c>
    </row>
    <row r="36" spans="1:9">
      <c r="A36" s="301" t="s">
        <v>403</v>
      </c>
      <c r="B36" s="302">
        <v>2</v>
      </c>
      <c r="C36" s="302">
        <v>36000</v>
      </c>
      <c r="D36" s="302">
        <f t="shared" ref="D36:D39" si="15">+C36*2.083</f>
        <v>74988</v>
      </c>
      <c r="E36" s="342">
        <f t="shared" ref="E36:E39" si="16">+D36/$D$40</f>
        <v>0.29556650246305421</v>
      </c>
      <c r="F36" s="75">
        <f>50*2</f>
        <v>100</v>
      </c>
      <c r="G36" s="75">
        <f>+F36*8*26*12</f>
        <v>249600</v>
      </c>
      <c r="H36" s="75">
        <f>+'Consommations Q'!$C$11</f>
        <v>133285.16129032258</v>
      </c>
      <c r="I36" s="58">
        <f t="shared" ref="I36:I39" si="17">+H36/G36</f>
        <v>0.53399503722084363</v>
      </c>
    </row>
    <row r="37" spans="1:9">
      <c r="A37" s="301" t="s">
        <v>404</v>
      </c>
      <c r="B37" s="302">
        <v>1</v>
      </c>
      <c r="C37" s="302">
        <v>5300</v>
      </c>
      <c r="D37" s="302">
        <f t="shared" si="15"/>
        <v>11039.900000000001</v>
      </c>
      <c r="E37" s="342">
        <f t="shared" si="16"/>
        <v>4.3513957307060765E-2</v>
      </c>
      <c r="F37" s="75">
        <f>40*4</f>
        <v>160</v>
      </c>
      <c r="G37" s="75">
        <f>+F37*8*26*12</f>
        <v>399360</v>
      </c>
      <c r="H37" s="75">
        <f>+'Consommations Q'!$C$11</f>
        <v>133285.16129032258</v>
      </c>
      <c r="I37" s="58">
        <f t="shared" si="17"/>
        <v>0.33374689826302728</v>
      </c>
    </row>
    <row r="38" spans="1:9">
      <c r="A38" s="301" t="s">
        <v>429</v>
      </c>
      <c r="B38" s="302">
        <v>3</v>
      </c>
      <c r="C38" s="302">
        <v>20000</v>
      </c>
      <c r="D38" s="302">
        <f t="shared" si="15"/>
        <v>41660.000000000007</v>
      </c>
      <c r="E38" s="342">
        <f t="shared" si="16"/>
        <v>0.16420361247947457</v>
      </c>
      <c r="F38" s="75">
        <v>50</v>
      </c>
      <c r="G38" s="75">
        <f>+(F38*8*26*12)*4</f>
        <v>499200</v>
      </c>
      <c r="H38" s="75">
        <f>+'Consommations Q'!$C$11</f>
        <v>133285.16129032258</v>
      </c>
      <c r="I38" s="58">
        <f t="shared" si="17"/>
        <v>0.26699751861042181</v>
      </c>
    </row>
    <row r="39" spans="1:9">
      <c r="A39" s="301" t="s">
        <v>405</v>
      </c>
      <c r="B39" s="302">
        <v>1</v>
      </c>
      <c r="C39" s="302">
        <v>7500</v>
      </c>
      <c r="D39" s="302">
        <f t="shared" si="15"/>
        <v>15622.500000000002</v>
      </c>
      <c r="E39" s="342">
        <f t="shared" si="16"/>
        <v>6.1576354679802964E-2</v>
      </c>
      <c r="F39" s="75">
        <v>250</v>
      </c>
      <c r="G39" s="75">
        <f>+F39*8*26*12</f>
        <v>624000</v>
      </c>
      <c r="H39" s="75">
        <f>+'Consommations Q'!$C$11</f>
        <v>133285.16129032258</v>
      </c>
      <c r="I39" s="58">
        <f t="shared" si="17"/>
        <v>0.21359801488833746</v>
      </c>
    </row>
    <row r="40" spans="1:9">
      <c r="A40" s="303"/>
      <c r="B40" s="304"/>
      <c r="C40" s="304">
        <f>SUM(C35:C39)</f>
        <v>121800</v>
      </c>
      <c r="D40" s="304">
        <f>SUM(D35:D39)</f>
        <v>253709.4</v>
      </c>
      <c r="E40" s="343">
        <f>SUM(E35:E39)</f>
        <v>1.0000000000000002</v>
      </c>
      <c r="F40" s="261"/>
      <c r="G40" s="261"/>
      <c r="H40" s="261"/>
    </row>
    <row r="41" spans="1:9">
      <c r="D41" s="3"/>
      <c r="E41" s="3"/>
    </row>
    <row r="42" spans="1:9" ht="12.75" thickBot="1">
      <c r="A42" s="305" t="s">
        <v>395</v>
      </c>
      <c r="B42" s="305" t="s">
        <v>408</v>
      </c>
      <c r="C42" s="305"/>
      <c r="D42" s="305" t="s">
        <v>393</v>
      </c>
      <c r="E42" s="340"/>
    </row>
    <row r="43" spans="1:9" ht="12.75" thickTop="1">
      <c r="A43" s="301" t="s">
        <v>407</v>
      </c>
      <c r="B43" s="302">
        <v>1</v>
      </c>
      <c r="C43" s="302"/>
      <c r="D43" s="302">
        <v>45000</v>
      </c>
      <c r="E43" s="302"/>
    </row>
    <row r="44" spans="1:9">
      <c r="A44" s="301" t="s">
        <v>406</v>
      </c>
      <c r="B44" s="302">
        <v>2</v>
      </c>
      <c r="C44" s="302"/>
      <c r="D44" s="302">
        <v>52000</v>
      </c>
      <c r="E44" s="302"/>
    </row>
    <row r="45" spans="1:9">
      <c r="A45" s="303"/>
      <c r="B45" s="304"/>
      <c r="C45" s="304"/>
      <c r="D45" s="304">
        <f>SUM(D43:D44)</f>
        <v>97000</v>
      </c>
      <c r="E45" s="339"/>
    </row>
    <row r="47" spans="1:9" ht="12.75" thickBot="1">
      <c r="A47" s="305" t="s">
        <v>410</v>
      </c>
      <c r="B47" s="305"/>
      <c r="C47" s="305"/>
      <c r="D47" s="305" t="s">
        <v>393</v>
      </c>
      <c r="E47" s="344"/>
    </row>
    <row r="48" spans="1:9" ht="12.75" thickTop="1">
      <c r="A48" s="334" t="s">
        <v>411</v>
      </c>
      <c r="B48" s="335"/>
      <c r="C48" s="335"/>
      <c r="D48" s="335">
        <v>5700</v>
      </c>
      <c r="E48" s="75"/>
    </row>
    <row r="49" spans="1:5">
      <c r="A49" s="334" t="s">
        <v>414</v>
      </c>
      <c r="B49" s="335"/>
      <c r="C49" s="335"/>
      <c r="D49" s="335">
        <v>6500</v>
      </c>
      <c r="E49" s="75"/>
    </row>
    <row r="50" spans="1:5">
      <c r="A50" s="334" t="s">
        <v>415</v>
      </c>
      <c r="B50" s="335"/>
      <c r="C50" s="335"/>
      <c r="D50" s="335">
        <v>4000</v>
      </c>
      <c r="E50" s="75"/>
    </row>
    <row r="51" spans="1:5">
      <c r="A51" s="334" t="s">
        <v>412</v>
      </c>
      <c r="B51" s="335"/>
      <c r="C51" s="335"/>
      <c r="D51" s="335">
        <v>3800</v>
      </c>
      <c r="E51" s="75"/>
    </row>
    <row r="52" spans="1:5">
      <c r="A52" s="334" t="s">
        <v>416</v>
      </c>
      <c r="B52" s="335"/>
      <c r="C52" s="335"/>
      <c r="D52" s="335">
        <v>5125</v>
      </c>
      <c r="E52" s="75"/>
    </row>
    <row r="53" spans="1:5">
      <c r="A53" s="334" t="s">
        <v>413</v>
      </c>
      <c r="B53" s="335"/>
      <c r="C53" s="335"/>
      <c r="D53" s="335">
        <f>1665+22-4-570+147-32+7-1-1+1-0.5</f>
        <v>1233.5</v>
      </c>
      <c r="E53" s="75"/>
    </row>
    <row r="54" spans="1:5">
      <c r="A54" s="336"/>
      <c r="B54" s="337"/>
      <c r="C54" s="337"/>
      <c r="D54" s="337">
        <f>SUM(D48:D53)</f>
        <v>26358.5</v>
      </c>
      <c r="E54" s="341"/>
    </row>
    <row r="56" spans="1:5" ht="12.75" thickBot="1">
      <c r="A56" s="305" t="s">
        <v>304</v>
      </c>
      <c r="B56" s="305"/>
      <c r="C56" s="305"/>
      <c r="D56" s="305" t="s">
        <v>393</v>
      </c>
      <c r="E56" s="344"/>
    </row>
    <row r="57" spans="1:5" ht="12.75" thickTop="1">
      <c r="A57" s="301" t="s">
        <v>418</v>
      </c>
      <c r="B57" s="302"/>
      <c r="C57" s="302"/>
      <c r="D57" s="302">
        <v>12000</v>
      </c>
      <c r="E57" s="75"/>
    </row>
    <row r="58" spans="1:5">
      <c r="A58" s="301" t="s">
        <v>417</v>
      </c>
      <c r="B58" s="302"/>
      <c r="C58" s="302"/>
      <c r="D58" s="302">
        <v>5000</v>
      </c>
      <c r="E58" s="75"/>
    </row>
    <row r="59" spans="1:5">
      <c r="A59" s="301" t="s">
        <v>419</v>
      </c>
      <c r="B59" s="302"/>
      <c r="C59" s="302"/>
      <c r="D59" s="302">
        <v>2000</v>
      </c>
      <c r="E59" s="75"/>
    </row>
    <row r="60" spans="1:5">
      <c r="A60" s="301" t="s">
        <v>420</v>
      </c>
      <c r="B60" s="302"/>
      <c r="C60" s="302"/>
      <c r="D60" s="302">
        <v>1500</v>
      </c>
      <c r="E60" s="75"/>
    </row>
    <row r="61" spans="1:5">
      <c r="A61" s="303"/>
      <c r="B61" s="304"/>
      <c r="C61" s="304"/>
      <c r="D61" s="304">
        <f>SUM(D57:D60)</f>
        <v>20500</v>
      </c>
      <c r="E61" s="341"/>
    </row>
    <row r="62" spans="1:5" ht="12.75" thickBot="1">
      <c r="A62" s="305" t="s">
        <v>513</v>
      </c>
      <c r="B62" s="305"/>
      <c r="C62" s="305"/>
      <c r="D62" s="305" t="s">
        <v>393</v>
      </c>
    </row>
    <row r="63" spans="1:5" ht="12.75" thickTop="1">
      <c r="A63" s="301" t="s">
        <v>409</v>
      </c>
      <c r="B63" s="301"/>
      <c r="C63" s="334"/>
      <c r="D63" s="302">
        <v>12000</v>
      </c>
    </row>
    <row r="64" spans="1:5">
      <c r="A64" s="301" t="s">
        <v>399</v>
      </c>
      <c r="B64" s="301"/>
      <c r="C64" s="334"/>
      <c r="D64" s="302">
        <v>3500</v>
      </c>
    </row>
    <row r="65" spans="1:4">
      <c r="A65" s="303"/>
      <c r="B65" s="304"/>
      <c r="C65" s="304"/>
      <c r="D65" s="304">
        <f>SUM(D63:D64)</f>
        <v>15500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activeCell="E1" sqref="E1"/>
    </sheetView>
  </sheetViews>
  <sheetFormatPr baseColWidth="10" defaultRowHeight="15"/>
  <cols>
    <col min="1" max="1" width="13.7109375" bestFit="1" customWidth="1"/>
    <col min="2" max="2" width="9.85546875" customWidth="1"/>
    <col min="3" max="3" width="11.85546875" customWidth="1"/>
    <col min="4" max="4" width="10.7109375" bestFit="1" customWidth="1"/>
  </cols>
  <sheetData>
    <row r="1" spans="1:5" ht="36.75" thickBot="1">
      <c r="A1" s="1" t="s">
        <v>0</v>
      </c>
      <c r="B1" s="1" t="s">
        <v>422</v>
      </c>
      <c r="C1" s="1" t="s">
        <v>423</v>
      </c>
      <c r="D1" s="1" t="s">
        <v>204</v>
      </c>
      <c r="E1" s="1" t="s">
        <v>424</v>
      </c>
    </row>
    <row r="2" spans="1:5" ht="15.75" thickTop="1">
      <c r="A2" s="3" t="s">
        <v>5</v>
      </c>
      <c r="B2" s="263">
        <f>+Données!B28</f>
        <v>2.8</v>
      </c>
      <c r="C2" s="262">
        <f>+D2*10</f>
        <v>10</v>
      </c>
      <c r="D2" s="4">
        <v>1</v>
      </c>
      <c r="E2" s="4">
        <v>1</v>
      </c>
    </row>
    <row r="3" spans="1:5">
      <c r="A3" s="3" t="s">
        <v>6</v>
      </c>
      <c r="B3" s="263">
        <f>+Données!B29</f>
        <v>5.0999999999999996</v>
      </c>
      <c r="C3" s="262">
        <f t="shared" ref="C3:C8" si="0">+D3*10</f>
        <v>14</v>
      </c>
      <c r="D3" s="4">
        <v>1.4</v>
      </c>
      <c r="E3" s="4">
        <v>1.9</v>
      </c>
    </row>
    <row r="4" spans="1:5">
      <c r="A4" s="3" t="s">
        <v>7</v>
      </c>
      <c r="B4" s="263">
        <f>+Données!B30</f>
        <v>3.8</v>
      </c>
      <c r="C4" s="262">
        <f t="shared" si="0"/>
        <v>12</v>
      </c>
      <c r="D4" s="4">
        <v>1.2</v>
      </c>
      <c r="E4" s="4">
        <v>1.25</v>
      </c>
    </row>
    <row r="5" spans="1:5">
      <c r="A5" s="3" t="s">
        <v>427</v>
      </c>
      <c r="B5" s="263">
        <f>+Données!B34</f>
        <v>24</v>
      </c>
      <c r="C5" s="262">
        <f>+D5*10</f>
        <v>35</v>
      </c>
      <c r="D5" s="4">
        <v>3.5</v>
      </c>
      <c r="E5" s="4">
        <v>3</v>
      </c>
    </row>
    <row r="6" spans="1:5">
      <c r="A6" s="3" t="s">
        <v>426</v>
      </c>
      <c r="B6" s="263">
        <f>+Données!B33</f>
        <v>24</v>
      </c>
      <c r="C6" s="262">
        <f t="shared" si="0"/>
        <v>35</v>
      </c>
      <c r="D6" s="4">
        <v>3.5</v>
      </c>
      <c r="E6" s="4">
        <v>3.7</v>
      </c>
    </row>
    <row r="7" spans="1:5">
      <c r="A7" s="3" t="s">
        <v>425</v>
      </c>
      <c r="B7" s="263">
        <f>+Données!B32</f>
        <v>22</v>
      </c>
      <c r="C7" s="262">
        <f t="shared" si="0"/>
        <v>35</v>
      </c>
      <c r="D7" s="4">
        <v>3.5</v>
      </c>
      <c r="E7" s="4">
        <v>3.7</v>
      </c>
    </row>
    <row r="8" spans="1:5">
      <c r="A8" s="3" t="s">
        <v>92</v>
      </c>
      <c r="B8" s="263">
        <f>+Données!B31</f>
        <v>25</v>
      </c>
      <c r="C8" s="262">
        <f t="shared" si="0"/>
        <v>35</v>
      </c>
      <c r="D8" s="4">
        <v>3.5</v>
      </c>
      <c r="E8" s="4">
        <v>3.7</v>
      </c>
    </row>
    <row r="9" spans="1:5" ht="15.75" thickBot="1">
      <c r="A9" s="7"/>
      <c r="B9" s="7"/>
      <c r="C9" s="7"/>
      <c r="D9" s="8"/>
      <c r="E9" s="8"/>
    </row>
    <row r="10" spans="1:5" ht="15.75" thickTop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5"/>
  <sheetViews>
    <sheetView workbookViewId="0">
      <selection activeCell="A2" sqref="A2"/>
    </sheetView>
  </sheetViews>
  <sheetFormatPr baseColWidth="10" defaultRowHeight="12"/>
  <cols>
    <col min="1" max="1" width="27.140625" style="3" customWidth="1"/>
    <col min="2" max="2" width="10.85546875" style="3" bestFit="1" customWidth="1"/>
    <col min="3" max="3" width="13.5703125" style="3" bestFit="1" customWidth="1"/>
    <col min="4" max="6" width="10.85546875" style="3" bestFit="1" customWidth="1"/>
    <col min="7" max="8" width="11.140625" style="3" bestFit="1" customWidth="1"/>
    <col min="9" max="9" width="11.85546875" style="3" customWidth="1"/>
    <col min="10" max="15" width="10.85546875" style="3" bestFit="1" customWidth="1"/>
    <col min="16" max="18" width="11.42578125" style="3"/>
    <col min="19" max="19" width="10.85546875" style="3" bestFit="1" customWidth="1"/>
    <col min="20" max="20" width="14.7109375" style="3" bestFit="1" customWidth="1"/>
    <col min="21" max="21" width="11.42578125" style="3"/>
    <col min="22" max="22" width="14.7109375" style="3" bestFit="1" customWidth="1"/>
    <col min="23" max="16384" width="11.42578125" style="3"/>
  </cols>
  <sheetData>
    <row r="1" spans="1:22">
      <c r="J1" s="31">
        <v>2016</v>
      </c>
      <c r="K1" s="462">
        <v>2017</v>
      </c>
      <c r="L1" s="462"/>
      <c r="M1" s="462">
        <v>2018</v>
      </c>
      <c r="N1" s="462"/>
      <c r="O1" s="462">
        <v>2019</v>
      </c>
      <c r="P1" s="462"/>
      <c r="Q1" s="462">
        <v>2020</v>
      </c>
      <c r="R1" s="462"/>
      <c r="S1" s="462">
        <v>2021</v>
      </c>
      <c r="T1" s="462"/>
      <c r="U1" s="462">
        <v>2022</v>
      </c>
      <c r="V1" s="462"/>
    </row>
    <row r="2" spans="1:22" ht="36.75" thickBot="1">
      <c r="A2" s="1" t="s">
        <v>0</v>
      </c>
      <c r="B2" s="1" t="s">
        <v>450</v>
      </c>
      <c r="C2" s="1" t="s">
        <v>451</v>
      </c>
      <c r="D2" s="1" t="s">
        <v>3</v>
      </c>
      <c r="E2" s="2" t="s">
        <v>4</v>
      </c>
      <c r="F2" s="1" t="s">
        <v>42</v>
      </c>
      <c r="G2" s="170" t="s">
        <v>323</v>
      </c>
      <c r="H2" s="55" t="s">
        <v>205</v>
      </c>
      <c r="I2" s="55" t="s">
        <v>322</v>
      </c>
      <c r="J2" s="55" t="s">
        <v>324</v>
      </c>
      <c r="K2" s="55" t="s">
        <v>324</v>
      </c>
      <c r="L2" s="55" t="s">
        <v>14</v>
      </c>
      <c r="M2" s="55" t="s">
        <v>324</v>
      </c>
      <c r="N2" s="55" t="s">
        <v>14</v>
      </c>
      <c r="O2" s="55" t="s">
        <v>324</v>
      </c>
      <c r="P2" s="55" t="s">
        <v>14</v>
      </c>
      <c r="Q2" s="55" t="s">
        <v>324</v>
      </c>
      <c r="R2" s="55" t="s">
        <v>14</v>
      </c>
      <c r="S2" s="55" t="s">
        <v>324</v>
      </c>
      <c r="T2" s="55" t="s">
        <v>14</v>
      </c>
      <c r="U2" s="55" t="s">
        <v>324</v>
      </c>
      <c r="V2" s="55" t="s">
        <v>14</v>
      </c>
    </row>
    <row r="3" spans="1:22" ht="12.75" thickTop="1">
      <c r="A3" s="3" t="s">
        <v>5</v>
      </c>
      <c r="B3" s="4">
        <v>3120</v>
      </c>
      <c r="C3" s="4">
        <f>+B3*10</f>
        <v>31200</v>
      </c>
      <c r="D3" s="4">
        <v>1</v>
      </c>
      <c r="E3" s="5">
        <f>+C3*D3</f>
        <v>31200</v>
      </c>
      <c r="F3" s="5">
        <f>+B3*12</f>
        <v>37440</v>
      </c>
      <c r="G3" s="181">
        <f>+E3*12</f>
        <v>374400</v>
      </c>
      <c r="H3" s="181">
        <f>+G3*0.1</f>
        <v>37440</v>
      </c>
      <c r="I3" s="181">
        <f>+G3-H3</f>
        <v>336960</v>
      </c>
      <c r="J3" s="4">
        <f>+C3*12</f>
        <v>374400</v>
      </c>
      <c r="K3" s="4">
        <f>+J3*1.15</f>
        <v>430559.99999999994</v>
      </c>
      <c r="L3" s="4">
        <f>+(K3*D3)*0.9</f>
        <v>387503.99999999994</v>
      </c>
      <c r="M3" s="4">
        <f t="shared" ref="M3:M9" si="0">+K3*1.15</f>
        <v>495143.99999999988</v>
      </c>
      <c r="N3" s="4">
        <f>+(M3*D3)*0.9</f>
        <v>445629.59999999992</v>
      </c>
      <c r="O3" s="4">
        <f>+M3*1.15</f>
        <v>569415.59999999986</v>
      </c>
      <c r="P3" s="4">
        <f>+(O3*D3)*0.9</f>
        <v>512474.03999999986</v>
      </c>
      <c r="Q3" s="4">
        <f>+O3*1.15</f>
        <v>654827.93999999983</v>
      </c>
      <c r="R3" s="4">
        <f>+(Q3*D3)*0.9</f>
        <v>589345.14599999983</v>
      </c>
      <c r="S3" s="4">
        <f>+Q3</f>
        <v>654827.93999999983</v>
      </c>
      <c r="T3" s="4">
        <f>+(S3*D3)*0.9</f>
        <v>589345.14599999983</v>
      </c>
      <c r="U3" s="4">
        <f>+S3</f>
        <v>654827.93999999983</v>
      </c>
      <c r="V3" s="4">
        <f>+(U3*D3)*0.9</f>
        <v>589345.14599999983</v>
      </c>
    </row>
    <row r="4" spans="1:22">
      <c r="A4" s="3" t="s">
        <v>6</v>
      </c>
      <c r="B4" s="4">
        <v>3120</v>
      </c>
      <c r="C4" s="4">
        <f t="shared" ref="C4:C9" si="1">+B4*10</f>
        <v>31200</v>
      </c>
      <c r="D4" s="4">
        <v>1.4</v>
      </c>
      <c r="E4" s="5">
        <f t="shared" ref="E4:E6" si="2">+C4*D4</f>
        <v>43680</v>
      </c>
      <c r="F4" s="5">
        <f t="shared" ref="F4:F6" si="3">+B4*12</f>
        <v>37440</v>
      </c>
      <c r="G4" s="181">
        <f t="shared" ref="G4:G9" si="4">+E4*12</f>
        <v>524160</v>
      </c>
      <c r="H4" s="181">
        <f t="shared" ref="H4:H9" si="5">+G4*0.1</f>
        <v>52416</v>
      </c>
      <c r="I4" s="181">
        <f t="shared" ref="I4:I9" si="6">+G4-H4</f>
        <v>471744</v>
      </c>
      <c r="J4" s="4">
        <f t="shared" ref="J4:J9" si="7">+C4*12</f>
        <v>374400</v>
      </c>
      <c r="K4" s="4">
        <f t="shared" ref="K4:K9" si="8">+J4*1.15</f>
        <v>430559.99999999994</v>
      </c>
      <c r="L4" s="4">
        <f t="shared" ref="L4:L9" si="9">+(K4*D4)*0.9</f>
        <v>542505.59999999986</v>
      </c>
      <c r="M4" s="4">
        <f t="shared" si="0"/>
        <v>495143.99999999988</v>
      </c>
      <c r="N4" s="4">
        <f t="shared" ref="N4:N9" si="10">+(M4*D4)*0.9</f>
        <v>623881.43999999983</v>
      </c>
      <c r="O4" s="4">
        <f t="shared" ref="O4:O9" si="11">+M4*1.15</f>
        <v>569415.59999999986</v>
      </c>
      <c r="P4" s="4">
        <f t="shared" ref="P4:P8" si="12">+(O4*D4)*0.9</f>
        <v>717463.65599999973</v>
      </c>
      <c r="Q4" s="4">
        <f t="shared" ref="Q4:Q9" si="13">+O4*1.15</f>
        <v>654827.93999999983</v>
      </c>
      <c r="R4" s="4">
        <f t="shared" ref="R4:R9" si="14">+(Q4*D4)*0.9</f>
        <v>825083.2043999997</v>
      </c>
      <c r="S4" s="4">
        <f t="shared" ref="S4:S9" si="15">+Q4</f>
        <v>654827.93999999983</v>
      </c>
      <c r="T4" s="4">
        <f t="shared" ref="T4:T9" si="16">+(S4*D4)*0.9</f>
        <v>825083.2043999997</v>
      </c>
      <c r="U4" s="4">
        <f t="shared" ref="U4:U9" si="17">+S4</f>
        <v>654827.93999999983</v>
      </c>
      <c r="V4" s="4">
        <f t="shared" ref="V4:V9" si="18">+(U4*D4)*0.9</f>
        <v>825083.2043999997</v>
      </c>
    </row>
    <row r="5" spans="1:22">
      <c r="A5" s="3" t="s">
        <v>7</v>
      </c>
      <c r="B5" s="4">
        <v>3120</v>
      </c>
      <c r="C5" s="4">
        <f t="shared" si="1"/>
        <v>31200</v>
      </c>
      <c r="D5" s="4">
        <v>1.2</v>
      </c>
      <c r="E5" s="5">
        <f t="shared" si="2"/>
        <v>37440</v>
      </c>
      <c r="F5" s="5">
        <f t="shared" si="3"/>
        <v>37440</v>
      </c>
      <c r="G5" s="181">
        <f t="shared" si="4"/>
        <v>449280</v>
      </c>
      <c r="H5" s="181">
        <f t="shared" si="5"/>
        <v>44928</v>
      </c>
      <c r="I5" s="181">
        <f t="shared" si="6"/>
        <v>404352</v>
      </c>
      <c r="J5" s="4">
        <f t="shared" si="7"/>
        <v>374400</v>
      </c>
      <c r="K5" s="4">
        <f t="shared" si="8"/>
        <v>430559.99999999994</v>
      </c>
      <c r="L5" s="4">
        <f t="shared" si="9"/>
        <v>465004.79999999993</v>
      </c>
      <c r="M5" s="4">
        <f t="shared" si="0"/>
        <v>495143.99999999988</v>
      </c>
      <c r="N5" s="4">
        <f t="shared" si="10"/>
        <v>534755.5199999999</v>
      </c>
      <c r="O5" s="4">
        <f t="shared" si="11"/>
        <v>569415.59999999986</v>
      </c>
      <c r="P5" s="4">
        <f t="shared" si="12"/>
        <v>614968.84799999988</v>
      </c>
      <c r="Q5" s="4">
        <f t="shared" si="13"/>
        <v>654827.93999999983</v>
      </c>
      <c r="R5" s="4">
        <f t="shared" si="14"/>
        <v>707214.17519999982</v>
      </c>
      <c r="S5" s="4">
        <f t="shared" si="15"/>
        <v>654827.93999999983</v>
      </c>
      <c r="T5" s="4">
        <f t="shared" si="16"/>
        <v>707214.17519999982</v>
      </c>
      <c r="U5" s="4">
        <f t="shared" si="17"/>
        <v>654827.93999999983</v>
      </c>
      <c r="V5" s="4">
        <f t="shared" si="18"/>
        <v>707214.17519999982</v>
      </c>
    </row>
    <row r="6" spans="1:22">
      <c r="A6" s="3" t="s">
        <v>45</v>
      </c>
      <c r="B6" s="4">
        <v>350</v>
      </c>
      <c r="C6" s="4">
        <f t="shared" si="1"/>
        <v>3500</v>
      </c>
      <c r="D6" s="4">
        <v>3.5</v>
      </c>
      <c r="E6" s="5">
        <f t="shared" si="2"/>
        <v>12250</v>
      </c>
      <c r="F6" s="5">
        <f t="shared" si="3"/>
        <v>4200</v>
      </c>
      <c r="G6" s="181">
        <f t="shared" si="4"/>
        <v>147000</v>
      </c>
      <c r="H6" s="181">
        <f t="shared" si="5"/>
        <v>14700</v>
      </c>
      <c r="I6" s="181">
        <f t="shared" si="6"/>
        <v>132300</v>
      </c>
      <c r="J6" s="4">
        <f t="shared" si="7"/>
        <v>42000</v>
      </c>
      <c r="K6" s="4">
        <f t="shared" si="8"/>
        <v>48299.999999999993</v>
      </c>
      <c r="L6" s="4">
        <f t="shared" si="9"/>
        <v>152144.99999999997</v>
      </c>
      <c r="M6" s="4">
        <f t="shared" si="0"/>
        <v>55544.999999999985</v>
      </c>
      <c r="N6" s="4">
        <f t="shared" si="10"/>
        <v>174966.74999999994</v>
      </c>
      <c r="O6" s="4">
        <f t="shared" si="11"/>
        <v>63876.749999999978</v>
      </c>
      <c r="P6" s="4">
        <f t="shared" si="12"/>
        <v>201211.76249999992</v>
      </c>
      <c r="Q6" s="4">
        <f t="shared" si="13"/>
        <v>73458.262499999968</v>
      </c>
      <c r="R6" s="4">
        <f t="shared" si="14"/>
        <v>231393.52687499992</v>
      </c>
      <c r="S6" s="4">
        <f t="shared" si="15"/>
        <v>73458.262499999968</v>
      </c>
      <c r="T6" s="4">
        <f t="shared" si="16"/>
        <v>231393.52687499992</v>
      </c>
      <c r="U6" s="4">
        <f t="shared" si="17"/>
        <v>73458.262499999968</v>
      </c>
      <c r="V6" s="4">
        <f t="shared" si="18"/>
        <v>231393.52687499992</v>
      </c>
    </row>
    <row r="7" spans="1:22">
      <c r="A7" s="3" t="s">
        <v>43</v>
      </c>
      <c r="B7" s="4">
        <v>350</v>
      </c>
      <c r="C7" s="4">
        <f t="shared" si="1"/>
        <v>3500</v>
      </c>
      <c r="D7" s="4">
        <v>3.5</v>
      </c>
      <c r="E7" s="5">
        <f t="shared" ref="E7:E9" si="19">+C7*D7</f>
        <v>12250</v>
      </c>
      <c r="F7" s="5">
        <f t="shared" ref="F7:F9" si="20">+B7*12</f>
        <v>4200</v>
      </c>
      <c r="G7" s="181">
        <f t="shared" si="4"/>
        <v>147000</v>
      </c>
      <c r="H7" s="181">
        <f t="shared" si="5"/>
        <v>14700</v>
      </c>
      <c r="I7" s="181">
        <f t="shared" si="6"/>
        <v>132300</v>
      </c>
      <c r="J7" s="4">
        <f t="shared" si="7"/>
        <v>42000</v>
      </c>
      <c r="K7" s="4">
        <f t="shared" si="8"/>
        <v>48299.999999999993</v>
      </c>
      <c r="L7" s="4">
        <f>+(K7*D7)*0.9</f>
        <v>152144.99999999997</v>
      </c>
      <c r="M7" s="4">
        <f t="shared" si="0"/>
        <v>55544.999999999985</v>
      </c>
      <c r="N7" s="4">
        <f t="shared" si="10"/>
        <v>174966.74999999994</v>
      </c>
      <c r="O7" s="4">
        <f t="shared" si="11"/>
        <v>63876.749999999978</v>
      </c>
      <c r="P7" s="4">
        <f t="shared" si="12"/>
        <v>201211.76249999992</v>
      </c>
      <c r="Q7" s="4">
        <f t="shared" si="13"/>
        <v>73458.262499999968</v>
      </c>
      <c r="R7" s="4">
        <f t="shared" si="14"/>
        <v>231393.52687499992</v>
      </c>
      <c r="S7" s="4">
        <f t="shared" si="15"/>
        <v>73458.262499999968</v>
      </c>
      <c r="T7" s="4">
        <f t="shared" si="16"/>
        <v>231393.52687499992</v>
      </c>
      <c r="U7" s="4">
        <f t="shared" si="17"/>
        <v>73458.262499999968</v>
      </c>
      <c r="V7" s="4">
        <f t="shared" si="18"/>
        <v>231393.52687499992</v>
      </c>
    </row>
    <row r="8" spans="1:22">
      <c r="A8" s="3" t="s">
        <v>44</v>
      </c>
      <c r="B8" s="4">
        <v>350</v>
      </c>
      <c r="C8" s="4">
        <f t="shared" si="1"/>
        <v>3500</v>
      </c>
      <c r="D8" s="4">
        <v>3.5</v>
      </c>
      <c r="E8" s="5">
        <f t="shared" si="19"/>
        <v>12250</v>
      </c>
      <c r="F8" s="5">
        <f t="shared" si="20"/>
        <v>4200</v>
      </c>
      <c r="G8" s="181">
        <f t="shared" si="4"/>
        <v>147000</v>
      </c>
      <c r="H8" s="181">
        <f t="shared" si="5"/>
        <v>14700</v>
      </c>
      <c r="I8" s="181">
        <f t="shared" si="6"/>
        <v>132300</v>
      </c>
      <c r="J8" s="4">
        <f t="shared" si="7"/>
        <v>42000</v>
      </c>
      <c r="K8" s="4">
        <f t="shared" si="8"/>
        <v>48299.999999999993</v>
      </c>
      <c r="L8" s="4">
        <f t="shared" si="9"/>
        <v>152144.99999999997</v>
      </c>
      <c r="M8" s="4">
        <f t="shared" si="0"/>
        <v>55544.999999999985</v>
      </c>
      <c r="N8" s="4">
        <f t="shared" si="10"/>
        <v>174966.74999999994</v>
      </c>
      <c r="O8" s="4">
        <f t="shared" si="11"/>
        <v>63876.749999999978</v>
      </c>
      <c r="P8" s="4">
        <f t="shared" si="12"/>
        <v>201211.76249999992</v>
      </c>
      <c r="Q8" s="4">
        <f t="shared" si="13"/>
        <v>73458.262499999968</v>
      </c>
      <c r="R8" s="4">
        <f t="shared" si="14"/>
        <v>231393.52687499992</v>
      </c>
      <c r="S8" s="4">
        <f t="shared" si="15"/>
        <v>73458.262499999968</v>
      </c>
      <c r="T8" s="4">
        <f t="shared" si="16"/>
        <v>231393.52687499992</v>
      </c>
      <c r="U8" s="4">
        <f t="shared" si="17"/>
        <v>73458.262499999968</v>
      </c>
      <c r="V8" s="4">
        <f>+(U8*D8)*0.9</f>
        <v>231393.52687499992</v>
      </c>
    </row>
    <row r="9" spans="1:22">
      <c r="A9" s="3" t="s">
        <v>92</v>
      </c>
      <c r="B9" s="4">
        <v>350</v>
      </c>
      <c r="C9" s="4">
        <f t="shared" si="1"/>
        <v>3500</v>
      </c>
      <c r="D9" s="4">
        <v>3.5</v>
      </c>
      <c r="E9" s="5">
        <f t="shared" si="19"/>
        <v>12250</v>
      </c>
      <c r="F9" s="5">
        <f t="shared" si="20"/>
        <v>4200</v>
      </c>
      <c r="G9" s="181">
        <f t="shared" si="4"/>
        <v>147000</v>
      </c>
      <c r="H9" s="181">
        <f t="shared" si="5"/>
        <v>14700</v>
      </c>
      <c r="I9" s="181">
        <f t="shared" si="6"/>
        <v>132300</v>
      </c>
      <c r="J9" s="4">
        <f t="shared" si="7"/>
        <v>42000</v>
      </c>
      <c r="K9" s="4">
        <f t="shared" si="8"/>
        <v>48299.999999999993</v>
      </c>
      <c r="L9" s="4">
        <f t="shared" si="9"/>
        <v>152144.99999999997</v>
      </c>
      <c r="M9" s="4">
        <f t="shared" si="0"/>
        <v>55544.999999999985</v>
      </c>
      <c r="N9" s="4">
        <f t="shared" si="10"/>
        <v>174966.74999999994</v>
      </c>
      <c r="O9" s="4">
        <f t="shared" si="11"/>
        <v>63876.749999999978</v>
      </c>
      <c r="P9" s="4">
        <f>+(O9*D9)*0.9</f>
        <v>201211.76249999992</v>
      </c>
      <c r="Q9" s="4">
        <f t="shared" si="13"/>
        <v>73458.262499999968</v>
      </c>
      <c r="R9" s="4">
        <f t="shared" si="14"/>
        <v>231393.52687499992</v>
      </c>
      <c r="S9" s="4">
        <f t="shared" si="15"/>
        <v>73458.262499999968</v>
      </c>
      <c r="T9" s="4">
        <f t="shared" si="16"/>
        <v>231393.52687499992</v>
      </c>
      <c r="U9" s="4">
        <f t="shared" si="17"/>
        <v>73458.262499999968</v>
      </c>
      <c r="V9" s="4">
        <f t="shared" si="18"/>
        <v>231393.52687499992</v>
      </c>
    </row>
    <row r="10" spans="1:22" ht="12.75" thickBot="1">
      <c r="A10" s="7"/>
      <c r="B10" s="8">
        <f>SUM(B3:B9)</f>
        <v>10760</v>
      </c>
      <c r="C10" s="8">
        <f>SUM(C3:C9)</f>
        <v>107600</v>
      </c>
      <c r="D10" s="9"/>
      <c r="E10" s="8">
        <f t="shared" ref="E10:J10" si="21">SUM(E3:E9)</f>
        <v>161320</v>
      </c>
      <c r="F10" s="8">
        <f>SUM(F3:F9)</f>
        <v>129120</v>
      </c>
      <c r="G10" s="8">
        <f t="shared" si="21"/>
        <v>1935840</v>
      </c>
      <c r="H10" s="8">
        <f t="shared" si="21"/>
        <v>193584</v>
      </c>
      <c r="I10" s="8">
        <f>SUM(I3:I9)</f>
        <v>1742256</v>
      </c>
      <c r="J10" s="8">
        <f t="shared" si="21"/>
        <v>1291200</v>
      </c>
      <c r="K10" s="8">
        <f t="shared" ref="K10:R10" si="22">SUM(K3:K9)</f>
        <v>1484879.9999999998</v>
      </c>
      <c r="L10" s="8">
        <f>SUM(L3:L9)</f>
        <v>2003594.4</v>
      </c>
      <c r="M10" s="8">
        <f t="shared" si="22"/>
        <v>1707611.9999999995</v>
      </c>
      <c r="N10" s="8">
        <f t="shared" si="22"/>
        <v>2304133.5599999996</v>
      </c>
      <c r="O10" s="8">
        <f t="shared" si="22"/>
        <v>1963753.7999999996</v>
      </c>
      <c r="P10" s="8">
        <f t="shared" si="22"/>
        <v>2649753.5939999986</v>
      </c>
      <c r="Q10" s="8">
        <f>SUM(Q3:Q9)</f>
        <v>2258316.8699999996</v>
      </c>
      <c r="R10" s="8">
        <f t="shared" si="22"/>
        <v>3047216.6330999993</v>
      </c>
      <c r="S10" s="8">
        <f>SUM(S3:S9)</f>
        <v>2258316.8699999996</v>
      </c>
      <c r="T10" s="8">
        <f>SUM(T3:T9)</f>
        <v>3047216.6330999993</v>
      </c>
      <c r="U10" s="8">
        <f>SUM(U3:U9)</f>
        <v>2258316.8699999996</v>
      </c>
      <c r="V10" s="8">
        <f>SUM(V3:V9)</f>
        <v>3047216.6330999993</v>
      </c>
    </row>
    <row r="11" spans="1:22" ht="12.75" thickTop="1">
      <c r="C11" s="4">
        <f>+C10*12</f>
        <v>1291200</v>
      </c>
    </row>
    <row r="12" spans="1:22">
      <c r="G12" s="4"/>
      <c r="K12" s="180">
        <f>+(K10-J10)/J10</f>
        <v>0.14999999999999983</v>
      </c>
      <c r="L12" s="180"/>
      <c r="M12" s="180">
        <f t="shared" ref="M12:R12" si="23">+(M10-K10)/K10</f>
        <v>0.14999999999999986</v>
      </c>
      <c r="N12" s="182">
        <f t="shared" si="23"/>
        <v>0.14999999999999986</v>
      </c>
      <c r="O12" s="180">
        <f t="shared" si="23"/>
        <v>0.15000000000000008</v>
      </c>
      <c r="P12" s="180">
        <f t="shared" si="23"/>
        <v>0.14999999999999961</v>
      </c>
      <c r="Q12" s="180">
        <f t="shared" si="23"/>
        <v>0.15000000000000008</v>
      </c>
      <c r="R12" s="180">
        <f t="shared" si="23"/>
        <v>0.15000000000000033</v>
      </c>
      <c r="S12" s="180">
        <f t="shared" ref="S12" si="24">+(S10-Q10)/Q10</f>
        <v>0</v>
      </c>
      <c r="T12" s="180">
        <f t="shared" ref="T12:V12" si="25">+(T10-R10)/R10</f>
        <v>0</v>
      </c>
      <c r="V12" s="180">
        <f t="shared" si="25"/>
        <v>0</v>
      </c>
    </row>
    <row r="13" spans="1:22">
      <c r="I13" s="15" t="s">
        <v>330</v>
      </c>
      <c r="L13" s="75"/>
      <c r="M13" s="75"/>
      <c r="N13" s="75">
        <f>+N10/0.9</f>
        <v>2560148.3999999994</v>
      </c>
      <c r="O13" s="75"/>
      <c r="P13" s="75">
        <f>+P10/0.9</f>
        <v>2944170.6599999983</v>
      </c>
      <c r="Q13" s="75"/>
      <c r="R13" s="75">
        <f>+R10/0.9</f>
        <v>3385796.2589999991</v>
      </c>
      <c r="S13" s="75"/>
      <c r="T13" s="75">
        <f>+T10/0.9</f>
        <v>3385796.2589999991</v>
      </c>
    </row>
    <row r="14" spans="1:22">
      <c r="L14" s="4"/>
    </row>
    <row r="17" spans="1:12">
      <c r="A17" s="3" t="s">
        <v>202</v>
      </c>
      <c r="B17" s="3">
        <v>100</v>
      </c>
      <c r="C17" s="4">
        <f>30*360*B17</f>
        <v>1080000</v>
      </c>
      <c r="D17" s="3">
        <f>+(C17/36)/100</f>
        <v>300</v>
      </c>
    </row>
    <row r="18" spans="1:12">
      <c r="A18" s="3" t="s">
        <v>203</v>
      </c>
      <c r="B18" s="3">
        <v>10</v>
      </c>
      <c r="C18" s="4">
        <f>100*360*B18</f>
        <v>360000</v>
      </c>
      <c r="D18" s="3">
        <f>+(C18/36)/100</f>
        <v>100</v>
      </c>
    </row>
    <row r="19" spans="1:12">
      <c r="C19" s="4">
        <f>SUM(C17:C18)</f>
        <v>1440000</v>
      </c>
    </row>
    <row r="20" spans="1:12">
      <c r="L20" s="4"/>
    </row>
    <row r="23" spans="1:12" ht="24.75" thickBot="1">
      <c r="A23" s="1" t="s">
        <v>127</v>
      </c>
      <c r="B23" s="1"/>
      <c r="C23" s="1" t="s">
        <v>446</v>
      </c>
    </row>
    <row r="24" spans="1:12" ht="12.75" thickTop="1">
      <c r="A24" s="3" t="s">
        <v>21</v>
      </c>
      <c r="B24" s="58">
        <f>+B3/$B$10</f>
        <v>0.2899628252788104</v>
      </c>
      <c r="C24" s="4">
        <f>+B24*Investissements!$G$36*10</f>
        <v>723747.21189591079</v>
      </c>
    </row>
    <row r="25" spans="1:12">
      <c r="A25" s="3" t="s">
        <v>22</v>
      </c>
      <c r="B25" s="58">
        <f>+B4/$B$10</f>
        <v>0.2899628252788104</v>
      </c>
      <c r="C25" s="4">
        <f>+B25*Investissements!$G$36*10</f>
        <v>723747.21189591079</v>
      </c>
    </row>
    <row r="26" spans="1:12">
      <c r="A26" s="3" t="s">
        <v>17</v>
      </c>
      <c r="B26" s="58">
        <f t="shared" ref="B26:B30" si="26">+B5/$B$10</f>
        <v>0.2899628252788104</v>
      </c>
      <c r="C26" s="4">
        <f>+B26*Investissements!$G$36*10</f>
        <v>723747.21189591079</v>
      </c>
    </row>
    <row r="27" spans="1:12">
      <c r="A27" s="3" t="s">
        <v>448</v>
      </c>
      <c r="B27" s="58">
        <f t="shared" si="26"/>
        <v>3.2527881040892194E-2</v>
      </c>
      <c r="C27" s="4">
        <f>+B27*Investissements!$G$36*10</f>
        <v>81189.591078066907</v>
      </c>
    </row>
    <row r="28" spans="1:12">
      <c r="A28" s="3" t="s">
        <v>449</v>
      </c>
      <c r="B28" s="58">
        <f t="shared" si="26"/>
        <v>3.2527881040892194E-2</v>
      </c>
      <c r="C28" s="4">
        <f>+B28*Investissements!$G$36*10</f>
        <v>81189.591078066907</v>
      </c>
    </row>
    <row r="29" spans="1:12">
      <c r="A29" s="3" t="s">
        <v>457</v>
      </c>
      <c r="B29" s="58">
        <f t="shared" si="26"/>
        <v>3.2527881040892194E-2</v>
      </c>
      <c r="C29" s="4">
        <f>+B29*Investissements!$G$36*10</f>
        <v>81189.591078066907</v>
      </c>
    </row>
    <row r="30" spans="1:12">
      <c r="A30" s="3" t="s">
        <v>23</v>
      </c>
      <c r="B30" s="58">
        <f t="shared" si="26"/>
        <v>3.2527881040892194E-2</v>
      </c>
      <c r="C30" s="4">
        <f>+B30*Investissements!$G$36*10</f>
        <v>81189.591078066907</v>
      </c>
    </row>
    <row r="31" spans="1:12" ht="12.75" thickBot="1">
      <c r="A31" s="7"/>
      <c r="B31" s="272">
        <f>SUM(B24:B30)</f>
        <v>1</v>
      </c>
      <c r="C31" s="9">
        <f>SUM(C24:C30)</f>
        <v>2495999.9999999991</v>
      </c>
    </row>
    <row r="32" spans="1:12" ht="12.75" thickTop="1"/>
    <row r="34" spans="1:15" ht="12.75" thickBot="1">
      <c r="A34" s="306" t="s">
        <v>127</v>
      </c>
      <c r="B34" s="306">
        <v>2016</v>
      </c>
      <c r="C34" s="306">
        <v>2017</v>
      </c>
      <c r="D34" s="306">
        <v>2018</v>
      </c>
      <c r="E34" s="306">
        <v>2019</v>
      </c>
      <c r="F34" s="306">
        <v>2020</v>
      </c>
      <c r="G34" s="306">
        <v>2021</v>
      </c>
      <c r="H34" s="306">
        <v>2022</v>
      </c>
    </row>
    <row r="35" spans="1:15" s="15" customFormat="1" ht="12.75" thickTop="1">
      <c r="A35" s="368" t="s">
        <v>447</v>
      </c>
      <c r="B35" s="369">
        <f>+'Consommations Q'!C11*10/C31</f>
        <v>0.53399503722084385</v>
      </c>
      <c r="C35" s="369">
        <f>+B35*1.15</f>
        <v>0.61409429280397043</v>
      </c>
      <c r="D35" s="369">
        <f>+C35*1.15</f>
        <v>0.7062084367245659</v>
      </c>
      <c r="E35" s="369">
        <f>+D35*1.15</f>
        <v>0.81213970223325072</v>
      </c>
      <c r="F35" s="369">
        <f>+E35*1.15</f>
        <v>0.93396065756823821</v>
      </c>
      <c r="G35" s="369">
        <f>+F35</f>
        <v>0.93396065756823821</v>
      </c>
      <c r="H35" s="369">
        <f>+G35</f>
        <v>0.93396065756823821</v>
      </c>
    </row>
    <row r="36" spans="1:15">
      <c r="A36" s="301" t="s">
        <v>21</v>
      </c>
      <c r="B36" s="370">
        <f>+I3</f>
        <v>336960</v>
      </c>
      <c r="C36" s="370">
        <f>+L3</f>
        <v>387503.99999999994</v>
      </c>
      <c r="D36" s="370">
        <f>+N3</f>
        <v>445629.59999999992</v>
      </c>
      <c r="E36" s="370">
        <f>+P3</f>
        <v>512474.03999999986</v>
      </c>
      <c r="F36" s="370">
        <f>+R3</f>
        <v>589345.14599999983</v>
      </c>
      <c r="G36" s="370">
        <f>+T3</f>
        <v>589345.14599999983</v>
      </c>
      <c r="H36" s="370">
        <f>+G36</f>
        <v>589345.14599999983</v>
      </c>
    </row>
    <row r="37" spans="1:15">
      <c r="A37" s="301" t="s">
        <v>22</v>
      </c>
      <c r="B37" s="370">
        <f t="shared" ref="B37:B41" si="27">+I4</f>
        <v>471744</v>
      </c>
      <c r="C37" s="370">
        <f t="shared" ref="C37:C42" si="28">+L4</f>
        <v>542505.59999999986</v>
      </c>
      <c r="D37" s="370">
        <f t="shared" ref="D37:D42" si="29">+N4</f>
        <v>623881.43999999983</v>
      </c>
      <c r="E37" s="370">
        <f t="shared" ref="E37:E42" si="30">+P4</f>
        <v>717463.65599999973</v>
      </c>
      <c r="F37" s="370">
        <f t="shared" ref="F37:F42" si="31">+R4</f>
        <v>825083.2043999997</v>
      </c>
      <c r="G37" s="370">
        <f t="shared" ref="G37:G42" si="32">+T4</f>
        <v>825083.2043999997</v>
      </c>
      <c r="H37" s="370">
        <f t="shared" ref="H37:H42" si="33">+G37</f>
        <v>825083.2043999997</v>
      </c>
    </row>
    <row r="38" spans="1:15">
      <c r="A38" s="301" t="s">
        <v>17</v>
      </c>
      <c r="B38" s="370">
        <f t="shared" si="27"/>
        <v>404352</v>
      </c>
      <c r="C38" s="370">
        <f t="shared" si="28"/>
        <v>465004.79999999993</v>
      </c>
      <c r="D38" s="370">
        <f t="shared" si="29"/>
        <v>534755.5199999999</v>
      </c>
      <c r="E38" s="370">
        <f t="shared" si="30"/>
        <v>614968.84799999988</v>
      </c>
      <c r="F38" s="370">
        <f t="shared" si="31"/>
        <v>707214.17519999982</v>
      </c>
      <c r="G38" s="370">
        <f t="shared" si="32"/>
        <v>707214.17519999982</v>
      </c>
      <c r="H38" s="370">
        <f t="shared" si="33"/>
        <v>707214.17519999982</v>
      </c>
    </row>
    <row r="39" spans="1:15">
      <c r="A39" s="301" t="s">
        <v>448</v>
      </c>
      <c r="B39" s="370">
        <f t="shared" si="27"/>
        <v>132300</v>
      </c>
      <c r="C39" s="370">
        <f t="shared" si="28"/>
        <v>152144.99999999997</v>
      </c>
      <c r="D39" s="370">
        <f t="shared" si="29"/>
        <v>174966.74999999994</v>
      </c>
      <c r="E39" s="370">
        <f t="shared" si="30"/>
        <v>201211.76249999992</v>
      </c>
      <c r="F39" s="370">
        <f t="shared" si="31"/>
        <v>231393.52687499992</v>
      </c>
      <c r="G39" s="370">
        <f t="shared" si="32"/>
        <v>231393.52687499992</v>
      </c>
      <c r="H39" s="370">
        <f t="shared" si="33"/>
        <v>231393.52687499992</v>
      </c>
    </row>
    <row r="40" spans="1:15">
      <c r="A40" s="301" t="s">
        <v>449</v>
      </c>
      <c r="B40" s="370">
        <f t="shared" si="27"/>
        <v>132300</v>
      </c>
      <c r="C40" s="370">
        <f t="shared" si="28"/>
        <v>152144.99999999997</v>
      </c>
      <c r="D40" s="370">
        <f t="shared" si="29"/>
        <v>174966.74999999994</v>
      </c>
      <c r="E40" s="370">
        <f t="shared" si="30"/>
        <v>201211.76249999992</v>
      </c>
      <c r="F40" s="370">
        <f t="shared" si="31"/>
        <v>231393.52687499992</v>
      </c>
      <c r="G40" s="370">
        <f t="shared" si="32"/>
        <v>231393.52687499992</v>
      </c>
      <c r="H40" s="370">
        <f t="shared" si="33"/>
        <v>231393.52687499992</v>
      </c>
    </row>
    <row r="41" spans="1:15">
      <c r="A41" s="301" t="s">
        <v>457</v>
      </c>
      <c r="B41" s="370">
        <f t="shared" si="27"/>
        <v>132300</v>
      </c>
      <c r="C41" s="370">
        <f t="shared" si="28"/>
        <v>152144.99999999997</v>
      </c>
      <c r="D41" s="370">
        <f t="shared" si="29"/>
        <v>174966.74999999994</v>
      </c>
      <c r="E41" s="370">
        <f t="shared" si="30"/>
        <v>201211.76249999992</v>
      </c>
      <c r="F41" s="370">
        <f t="shared" si="31"/>
        <v>231393.52687499992</v>
      </c>
      <c r="G41" s="370">
        <f t="shared" si="32"/>
        <v>231393.52687499992</v>
      </c>
      <c r="H41" s="370">
        <f t="shared" si="33"/>
        <v>231393.52687499992</v>
      </c>
    </row>
    <row r="42" spans="1:15">
      <c r="A42" s="301" t="s">
        <v>23</v>
      </c>
      <c r="B42" s="370">
        <f>+I9</f>
        <v>132300</v>
      </c>
      <c r="C42" s="370">
        <f t="shared" si="28"/>
        <v>152144.99999999997</v>
      </c>
      <c r="D42" s="370">
        <f t="shared" si="29"/>
        <v>174966.74999999994</v>
      </c>
      <c r="E42" s="370">
        <f t="shared" si="30"/>
        <v>201211.76249999992</v>
      </c>
      <c r="F42" s="370">
        <f t="shared" si="31"/>
        <v>231393.52687499992</v>
      </c>
      <c r="G42" s="370">
        <f t="shared" si="32"/>
        <v>231393.52687499992</v>
      </c>
      <c r="H42" s="370">
        <f t="shared" si="33"/>
        <v>231393.52687499992</v>
      </c>
    </row>
    <row r="43" spans="1:15" ht="12.75" thickBot="1">
      <c r="A43" s="346"/>
      <c r="B43" s="371">
        <f>SUM(B36:B42)</f>
        <v>1742256</v>
      </c>
      <c r="C43" s="371">
        <f t="shared" ref="C43:F43" si="34">SUM(C36:C42)</f>
        <v>2003594.4</v>
      </c>
      <c r="D43" s="371">
        <f t="shared" si="34"/>
        <v>2304133.5599999996</v>
      </c>
      <c r="E43" s="371">
        <f t="shared" si="34"/>
        <v>2649753.5939999986</v>
      </c>
      <c r="F43" s="371">
        <f t="shared" si="34"/>
        <v>3047216.6330999993</v>
      </c>
      <c r="G43" s="371">
        <f t="shared" ref="G43" si="35">SUM(G36:G42)</f>
        <v>3047216.6330999993</v>
      </c>
      <c r="H43" s="371">
        <f>SUM(H36:H42)</f>
        <v>3047216.6330999993</v>
      </c>
    </row>
    <row r="44" spans="1:15" s="15" customFormat="1" ht="12.75" thickTop="1">
      <c r="B44" s="273">
        <f>+B43-'P&amp;L'!C10</f>
        <v>0</v>
      </c>
      <c r="C44" s="273">
        <f>+C43-'P&amp;L'!E10</f>
        <v>0</v>
      </c>
      <c r="D44" s="273">
        <f>+D43-'P&amp;L'!G10</f>
        <v>0</v>
      </c>
      <c r="E44" s="273">
        <f>+E43-'P&amp;L'!I10</f>
        <v>0</v>
      </c>
      <c r="F44" s="273">
        <f>+F43-'P&amp;L'!K10</f>
        <v>0</v>
      </c>
    </row>
    <row r="48" spans="1:15" ht="15" customHeight="1" thickBot="1">
      <c r="A48" s="345"/>
      <c r="B48" s="463">
        <v>2016</v>
      </c>
      <c r="C48" s="463"/>
      <c r="D48" s="463">
        <v>2017</v>
      </c>
      <c r="E48" s="463"/>
      <c r="F48" s="463">
        <v>2018</v>
      </c>
      <c r="G48" s="463"/>
      <c r="H48" s="463">
        <v>2019</v>
      </c>
      <c r="I48" s="463"/>
      <c r="J48" s="463">
        <v>2020</v>
      </c>
      <c r="K48" s="463"/>
      <c r="L48" s="463">
        <v>2021</v>
      </c>
      <c r="M48" s="463"/>
      <c r="N48" s="463">
        <v>2022</v>
      </c>
      <c r="O48" s="463"/>
    </row>
    <row r="49" spans="1:15" ht="24.75" thickTop="1">
      <c r="A49" s="338" t="s">
        <v>127</v>
      </c>
      <c r="B49" s="338" t="s">
        <v>324</v>
      </c>
      <c r="C49" s="338" t="s">
        <v>14</v>
      </c>
      <c r="D49" s="338" t="s">
        <v>324</v>
      </c>
      <c r="E49" s="338" t="s">
        <v>14</v>
      </c>
      <c r="F49" s="338" t="s">
        <v>324</v>
      </c>
      <c r="G49" s="338" t="s">
        <v>14</v>
      </c>
      <c r="H49" s="338" t="s">
        <v>324</v>
      </c>
      <c r="I49" s="338" t="s">
        <v>14</v>
      </c>
      <c r="J49" s="338" t="s">
        <v>324</v>
      </c>
      <c r="K49" s="338" t="s">
        <v>14</v>
      </c>
      <c r="L49" s="338" t="s">
        <v>324</v>
      </c>
      <c r="M49" s="338" t="s">
        <v>14</v>
      </c>
      <c r="N49" s="338" t="s">
        <v>324</v>
      </c>
      <c r="O49" s="338" t="s">
        <v>14</v>
      </c>
    </row>
    <row r="50" spans="1:15">
      <c r="A50" s="301" t="s">
        <v>21</v>
      </c>
      <c r="B50" s="302">
        <v>374400</v>
      </c>
      <c r="C50" s="377">
        <v>336960</v>
      </c>
      <c r="D50" s="302">
        <v>430559.99999999994</v>
      </c>
      <c r="E50" s="302">
        <v>387503.99999999994</v>
      </c>
      <c r="F50" s="302">
        <v>495143.99999999988</v>
      </c>
      <c r="G50" s="302">
        <v>445629.59999999992</v>
      </c>
      <c r="H50" s="302">
        <v>569415.59999999986</v>
      </c>
      <c r="I50" s="302">
        <v>512474.03999999986</v>
      </c>
      <c r="J50" s="302">
        <v>654827.93999999983</v>
      </c>
      <c r="K50" s="302">
        <v>589345.14599999983</v>
      </c>
      <c r="L50" s="302">
        <v>654827.93999999983</v>
      </c>
      <c r="M50" s="302">
        <v>589345.14599999983</v>
      </c>
      <c r="N50" s="302">
        <v>654827.93999999983</v>
      </c>
      <c r="O50" s="302">
        <v>589345.14599999983</v>
      </c>
    </row>
    <row r="51" spans="1:15">
      <c r="A51" s="301" t="s">
        <v>22</v>
      </c>
      <c r="B51" s="302">
        <v>374400</v>
      </c>
      <c r="C51" s="377">
        <v>471744</v>
      </c>
      <c r="D51" s="302">
        <v>430559.99999999994</v>
      </c>
      <c r="E51" s="302">
        <v>542505.59999999986</v>
      </c>
      <c r="F51" s="302">
        <v>495143.99999999988</v>
      </c>
      <c r="G51" s="302">
        <v>623881.43999999983</v>
      </c>
      <c r="H51" s="302">
        <v>569415.59999999986</v>
      </c>
      <c r="I51" s="302">
        <v>717463.65599999973</v>
      </c>
      <c r="J51" s="302">
        <v>654827.93999999983</v>
      </c>
      <c r="K51" s="302">
        <v>825083.2043999997</v>
      </c>
      <c r="L51" s="302">
        <v>654827.93999999983</v>
      </c>
      <c r="M51" s="302">
        <v>825083.2043999997</v>
      </c>
      <c r="N51" s="302">
        <v>654827.93999999983</v>
      </c>
      <c r="O51" s="302">
        <v>825083.2043999997</v>
      </c>
    </row>
    <row r="52" spans="1:15">
      <c r="A52" s="301" t="s">
        <v>17</v>
      </c>
      <c r="B52" s="302">
        <v>374400</v>
      </c>
      <c r="C52" s="377">
        <v>404352</v>
      </c>
      <c r="D52" s="302">
        <v>430559.99999999994</v>
      </c>
      <c r="E52" s="302">
        <v>465004.79999999993</v>
      </c>
      <c r="F52" s="302">
        <v>495143.99999999988</v>
      </c>
      <c r="G52" s="302">
        <v>534755.5199999999</v>
      </c>
      <c r="H52" s="302">
        <v>569415.59999999986</v>
      </c>
      <c r="I52" s="302">
        <v>614968.84799999988</v>
      </c>
      <c r="J52" s="302">
        <v>654827.93999999983</v>
      </c>
      <c r="K52" s="302">
        <v>707214.17519999982</v>
      </c>
      <c r="L52" s="302">
        <v>654827.93999999983</v>
      </c>
      <c r="M52" s="302">
        <v>707214.17519999982</v>
      </c>
      <c r="N52" s="302">
        <v>654827.93999999983</v>
      </c>
      <c r="O52" s="302">
        <v>707214.17519999982</v>
      </c>
    </row>
    <row r="53" spans="1:15">
      <c r="A53" s="301" t="s">
        <v>448</v>
      </c>
      <c r="B53" s="302">
        <v>42000</v>
      </c>
      <c r="C53" s="377">
        <v>132300</v>
      </c>
      <c r="D53" s="302">
        <v>48299.999999999993</v>
      </c>
      <c r="E53" s="302">
        <v>152144.99999999997</v>
      </c>
      <c r="F53" s="302">
        <v>55544.999999999985</v>
      </c>
      <c r="G53" s="302">
        <v>174966.74999999994</v>
      </c>
      <c r="H53" s="302">
        <v>63876.749999999978</v>
      </c>
      <c r="I53" s="302">
        <v>201211.76249999992</v>
      </c>
      <c r="J53" s="302">
        <v>73458.262499999968</v>
      </c>
      <c r="K53" s="302">
        <v>231393.52687499992</v>
      </c>
      <c r="L53" s="302">
        <v>73458.262499999968</v>
      </c>
      <c r="M53" s="302">
        <v>231393.52687499992</v>
      </c>
      <c r="N53" s="302">
        <v>73458.262499999968</v>
      </c>
      <c r="O53" s="302">
        <v>231393.52687499992</v>
      </c>
    </row>
    <row r="54" spans="1:15">
      <c r="A54" s="301" t="s">
        <v>449</v>
      </c>
      <c r="B54" s="302">
        <v>42000</v>
      </c>
      <c r="C54" s="377">
        <v>132300</v>
      </c>
      <c r="D54" s="302">
        <v>48299.999999999993</v>
      </c>
      <c r="E54" s="302">
        <v>152144.99999999997</v>
      </c>
      <c r="F54" s="302">
        <v>55544.999999999985</v>
      </c>
      <c r="G54" s="302">
        <v>174966.74999999994</v>
      </c>
      <c r="H54" s="302">
        <v>63876.749999999978</v>
      </c>
      <c r="I54" s="302">
        <v>201211.76249999992</v>
      </c>
      <c r="J54" s="302">
        <v>73458.262499999968</v>
      </c>
      <c r="K54" s="302">
        <v>231393.52687499992</v>
      </c>
      <c r="L54" s="302">
        <v>73458.262499999968</v>
      </c>
      <c r="M54" s="302">
        <v>231393.52687499992</v>
      </c>
      <c r="N54" s="302">
        <v>73458.262499999968</v>
      </c>
      <c r="O54" s="302">
        <v>231393.52687499992</v>
      </c>
    </row>
    <row r="55" spans="1:15">
      <c r="A55" s="301" t="s">
        <v>457</v>
      </c>
      <c r="B55" s="302">
        <v>42000</v>
      </c>
      <c r="C55" s="377">
        <v>132300</v>
      </c>
      <c r="D55" s="302">
        <v>48299.999999999993</v>
      </c>
      <c r="E55" s="302">
        <v>152144.99999999997</v>
      </c>
      <c r="F55" s="302">
        <v>55544.999999999985</v>
      </c>
      <c r="G55" s="302">
        <v>174966.74999999994</v>
      </c>
      <c r="H55" s="302">
        <v>63876.749999999978</v>
      </c>
      <c r="I55" s="302">
        <v>201211.76249999992</v>
      </c>
      <c r="J55" s="302">
        <v>73458.262499999968</v>
      </c>
      <c r="K55" s="302">
        <v>231393.52687499992</v>
      </c>
      <c r="L55" s="302">
        <v>73458.262499999968</v>
      </c>
      <c r="M55" s="302">
        <v>231393.52687499992</v>
      </c>
      <c r="N55" s="302">
        <v>73458.262499999968</v>
      </c>
      <c r="O55" s="302">
        <v>231393.52687499992</v>
      </c>
    </row>
    <row r="56" spans="1:15">
      <c r="A56" s="301" t="s">
        <v>23</v>
      </c>
      <c r="B56" s="302">
        <v>42000</v>
      </c>
      <c r="C56" s="377">
        <v>132300</v>
      </c>
      <c r="D56" s="302">
        <v>48299.999999999993</v>
      </c>
      <c r="E56" s="302">
        <v>152144.99999999997</v>
      </c>
      <c r="F56" s="302">
        <v>55544.999999999985</v>
      </c>
      <c r="G56" s="302">
        <v>174966.74999999994</v>
      </c>
      <c r="H56" s="302">
        <v>63876.749999999978</v>
      </c>
      <c r="I56" s="302">
        <v>201211.76249999992</v>
      </c>
      <c r="J56" s="302">
        <v>73458.262499999968</v>
      </c>
      <c r="K56" s="302">
        <v>231393.52687499992</v>
      </c>
      <c r="L56" s="302">
        <v>73458.262499999968</v>
      </c>
      <c r="M56" s="302">
        <v>231393.52687499992</v>
      </c>
      <c r="N56" s="302">
        <v>73458.262499999968</v>
      </c>
      <c r="O56" s="302">
        <v>231393.52687499992</v>
      </c>
    </row>
    <row r="57" spans="1:15" ht="12.75" thickBot="1">
      <c r="A57" s="346"/>
      <c r="B57" s="378">
        <f>SUM(B50:B56)</f>
        <v>1291200</v>
      </c>
      <c r="C57" s="378">
        <f t="shared" ref="C57:O57" si="36">SUM(C50:C56)</f>
        <v>1742256</v>
      </c>
      <c r="D57" s="378">
        <f t="shared" si="36"/>
        <v>1484879.9999999998</v>
      </c>
      <c r="E57" s="378">
        <f t="shared" si="36"/>
        <v>2003594.4</v>
      </c>
      <c r="F57" s="378">
        <f t="shared" si="36"/>
        <v>1707611.9999999995</v>
      </c>
      <c r="G57" s="378">
        <f t="shared" si="36"/>
        <v>2304133.5599999996</v>
      </c>
      <c r="H57" s="378">
        <f t="shared" si="36"/>
        <v>1963753.7999999996</v>
      </c>
      <c r="I57" s="378">
        <f t="shared" si="36"/>
        <v>2649753.5939999986</v>
      </c>
      <c r="J57" s="378">
        <f t="shared" si="36"/>
        <v>2258316.8699999996</v>
      </c>
      <c r="K57" s="378">
        <f t="shared" si="36"/>
        <v>3047216.6330999993</v>
      </c>
      <c r="L57" s="378">
        <f t="shared" si="36"/>
        <v>2258316.8699999996</v>
      </c>
      <c r="M57" s="378">
        <f t="shared" si="36"/>
        <v>3047216.6330999993</v>
      </c>
      <c r="N57" s="378">
        <f t="shared" si="36"/>
        <v>2258316.8699999996</v>
      </c>
      <c r="O57" s="378">
        <f t="shared" si="36"/>
        <v>3047216.6330999993</v>
      </c>
    </row>
    <row r="58" spans="1:15" ht="12.75" thickTop="1"/>
    <row r="60" spans="1:15" ht="12.75" thickBot="1">
      <c r="A60" s="306"/>
      <c r="B60" s="306">
        <v>2016</v>
      </c>
      <c r="C60" s="306">
        <v>2017</v>
      </c>
      <c r="D60" s="306">
        <v>2018</v>
      </c>
      <c r="E60" s="306">
        <v>2019</v>
      </c>
      <c r="F60" s="306">
        <v>2020</v>
      </c>
      <c r="G60" s="306">
        <v>2021</v>
      </c>
      <c r="H60" s="306">
        <v>2022</v>
      </c>
    </row>
    <row r="61" spans="1:15" ht="12.75" thickTop="1">
      <c r="A61" s="301" t="s">
        <v>542</v>
      </c>
      <c r="B61" s="370">
        <f>+B43</f>
        <v>1742256</v>
      </c>
      <c r="C61" s="370">
        <f t="shared" ref="C61:H61" si="37">+C43</f>
        <v>2003594.4</v>
      </c>
      <c r="D61" s="370">
        <f t="shared" si="37"/>
        <v>2304133.5599999996</v>
      </c>
      <c r="E61" s="370">
        <f t="shared" si="37"/>
        <v>2649753.5939999986</v>
      </c>
      <c r="F61" s="370">
        <f t="shared" si="37"/>
        <v>3047216.6330999993</v>
      </c>
      <c r="G61" s="370">
        <f t="shared" si="37"/>
        <v>3047216.6330999993</v>
      </c>
      <c r="H61" s="370">
        <f t="shared" si="37"/>
        <v>3047216.6330999993</v>
      </c>
    </row>
    <row r="62" spans="1:15">
      <c r="A62" s="301" t="s">
        <v>151</v>
      </c>
      <c r="B62" s="370">
        <f>+'Ach prévisionnel'!B97</f>
        <v>1131254.2656846773</v>
      </c>
      <c r="C62" s="370">
        <f>+'Ach prévisionnel'!C97</f>
        <v>1306374.7574527015</v>
      </c>
      <c r="D62" s="370">
        <f>+'Ach prévisionnel'!D97</f>
        <v>1502330.9710706067</v>
      </c>
      <c r="E62" s="370">
        <f>+'Ach prévisionnel'!E97</f>
        <v>1727680.6167311978</v>
      </c>
      <c r="F62" s="370">
        <f>+'Ach prévisionnel'!F97</f>
        <v>1986832.7092408771</v>
      </c>
      <c r="G62" s="370">
        <f>+'Ach prévisionnel'!G97</f>
        <v>1988071.9984737593</v>
      </c>
      <c r="H62" s="370">
        <f>+'Ach prévisionnel'!H97</f>
        <v>1988071.9984737593</v>
      </c>
    </row>
    <row r="63" spans="1:15">
      <c r="A63" s="303" t="s">
        <v>543</v>
      </c>
      <c r="B63" s="304">
        <f>+B61-B62</f>
        <v>611001.73431532271</v>
      </c>
      <c r="C63" s="304">
        <f t="shared" ref="C63:H63" si="38">+C61-C62</f>
        <v>697219.64254729846</v>
      </c>
      <c r="D63" s="304">
        <f t="shared" si="38"/>
        <v>801802.58892939286</v>
      </c>
      <c r="E63" s="304">
        <f t="shared" si="38"/>
        <v>922072.97726880084</v>
      </c>
      <c r="F63" s="304">
        <f t="shared" si="38"/>
        <v>1060383.9238591222</v>
      </c>
      <c r="G63" s="304">
        <f t="shared" si="38"/>
        <v>1059144.63462624</v>
      </c>
      <c r="H63" s="304">
        <f t="shared" si="38"/>
        <v>1059144.63462624</v>
      </c>
    </row>
    <row r="64" spans="1:15" ht="12.75" thickBot="1">
      <c r="A64" s="351" t="s">
        <v>126</v>
      </c>
      <c r="B64" s="461">
        <f>+B63/B61</f>
        <v>0.35069572687097805</v>
      </c>
      <c r="C64" s="461">
        <f t="shared" ref="C64:H64" si="39">+C63/C61</f>
        <v>0.34798442366743415</v>
      </c>
      <c r="D64" s="461">
        <f t="shared" si="39"/>
        <v>0.34798442366743404</v>
      </c>
      <c r="E64" s="461">
        <f t="shared" si="39"/>
        <v>0.34798442366743376</v>
      </c>
      <c r="F64" s="461">
        <f t="shared" si="39"/>
        <v>0.3479844236674341</v>
      </c>
      <c r="G64" s="461">
        <f t="shared" si="39"/>
        <v>0.34757772818690258</v>
      </c>
      <c r="H64" s="461">
        <f t="shared" si="39"/>
        <v>0.34757772818690258</v>
      </c>
    </row>
    <row r="65" ht="12.75" thickTop="1"/>
  </sheetData>
  <mergeCells count="13">
    <mergeCell ref="N48:O48"/>
    <mergeCell ref="B48:C48"/>
    <mergeCell ref="D48:E48"/>
    <mergeCell ref="F48:G48"/>
    <mergeCell ref="H48:I48"/>
    <mergeCell ref="J48:K48"/>
    <mergeCell ref="L48:M48"/>
    <mergeCell ref="U1:V1"/>
    <mergeCell ref="K1:L1"/>
    <mergeCell ref="M1:N1"/>
    <mergeCell ref="O1:P1"/>
    <mergeCell ref="Q1:R1"/>
    <mergeCell ref="S1:T1"/>
  </mergeCells>
  <pageMargins left="0.7" right="0.7" top="0.75" bottom="0.75" header="0.3" footer="0.3"/>
  <pageSetup paperSize="9" orientation="portrait" horizontalDpi="0" verticalDpi="0" r:id="rId1"/>
  <ignoredErrors>
    <ignoredError sqref="P3 N3:N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7"/>
  <sheetViews>
    <sheetView workbookViewId="0">
      <selection activeCell="F27" sqref="F27"/>
    </sheetView>
  </sheetViews>
  <sheetFormatPr baseColWidth="10" defaultRowHeight="12"/>
  <cols>
    <col min="1" max="1" width="29.28515625" style="3" customWidth="1"/>
    <col min="2" max="2" width="13" style="3" bestFit="1" customWidth="1"/>
    <col min="3" max="3" width="12.85546875" style="3" bestFit="1" customWidth="1"/>
    <col min="4" max="4" width="13.42578125" style="3" bestFit="1" customWidth="1"/>
    <col min="5" max="16384" width="11.42578125" style="3"/>
  </cols>
  <sheetData>
    <row r="1" spans="1:8" ht="24.75" thickBot="1">
      <c r="A1" s="56" t="s">
        <v>0</v>
      </c>
      <c r="B1" s="57" t="s">
        <v>42</v>
      </c>
      <c r="C1" s="57" t="s">
        <v>46</v>
      </c>
      <c r="D1" s="57" t="s">
        <v>114</v>
      </c>
      <c r="E1" s="57" t="s">
        <v>115</v>
      </c>
    </row>
    <row r="2" spans="1:8" ht="12.75" thickTop="1">
      <c r="A2" s="3" t="s">
        <v>9</v>
      </c>
      <c r="B2" s="4">
        <f>+'Chiffre d''affaire'!F3+('Chiffre d''affaire'!F3/310*10)</f>
        <v>38647.741935483871</v>
      </c>
      <c r="C2" s="4">
        <f>+B23</f>
        <v>5.8884015410083634</v>
      </c>
      <c r="D2" s="4">
        <f>+B2-'Chiffre d''affaire'!F3</f>
        <v>1207.7419354838712</v>
      </c>
      <c r="E2" s="4">
        <f>+D2*C2</f>
        <v>7111.6694740436506</v>
      </c>
    </row>
    <row r="3" spans="1:8">
      <c r="A3" s="3" t="s">
        <v>10</v>
      </c>
      <c r="B3" s="4">
        <f>+'Chiffre d''affaire'!F4+('Chiffre d''affaire'!F4/310*10)</f>
        <v>38647.741935483871</v>
      </c>
      <c r="C3" s="4">
        <f>+C23</f>
        <v>8.3114015410083635</v>
      </c>
      <c r="D3" s="4">
        <f>+B3-'Chiffre d''affaire'!F4</f>
        <v>1207.7419354838712</v>
      </c>
      <c r="E3" s="4">
        <f t="shared" ref="E3:E8" si="0">+D3*C3</f>
        <v>10038.028183721071</v>
      </c>
    </row>
    <row r="4" spans="1:8">
      <c r="A4" s="3" t="s">
        <v>11</v>
      </c>
      <c r="B4" s="4">
        <f>+'Chiffre d''affaire'!F5+('Chiffre d''affaire'!F5/310*10)</f>
        <v>38647.741935483871</v>
      </c>
      <c r="C4" s="4">
        <f>+D23</f>
        <v>6.9484015410083648</v>
      </c>
      <c r="D4" s="4">
        <f>+B4-'Chiffre d''affaire'!F5</f>
        <v>1207.7419354838712</v>
      </c>
      <c r="E4" s="4">
        <f t="shared" si="0"/>
        <v>8391.8759256565554</v>
      </c>
    </row>
    <row r="5" spans="1:8">
      <c r="A5" s="3" t="s">
        <v>45</v>
      </c>
      <c r="B5" s="4">
        <f>+'Chiffre d''affaire'!F6+('Chiffre d''affaire'!F6/310*10)</f>
        <v>4335.4838709677424</v>
      </c>
      <c r="C5" s="4">
        <f>+E23</f>
        <v>27.92540154100837</v>
      </c>
      <c r="D5" s="4">
        <f>+B5-'Chiffre d''affaire'!F6</f>
        <v>135.4838709677424</v>
      </c>
      <c r="E5" s="4">
        <f t="shared" si="0"/>
        <v>3783.4414991043727</v>
      </c>
    </row>
    <row r="6" spans="1:8">
      <c r="A6" s="3" t="s">
        <v>43</v>
      </c>
      <c r="B6" s="4">
        <f>+'Chiffre d''affaire'!F7+('Chiffre d''affaire'!F7/310*10)</f>
        <v>4335.4838709677424</v>
      </c>
      <c r="C6" s="4">
        <f>+F23</f>
        <v>27.92540154100837</v>
      </c>
      <c r="D6" s="4">
        <f>+B6-'Chiffre d''affaire'!F7</f>
        <v>135.4838709677424</v>
      </c>
      <c r="E6" s="4">
        <f t="shared" si="0"/>
        <v>3783.4414991043727</v>
      </c>
    </row>
    <row r="7" spans="1:8">
      <c r="A7" s="3" t="s">
        <v>44</v>
      </c>
      <c r="B7" s="4">
        <f>+'Chiffre d''affaire'!F8+('Chiffre d''affaire'!F8/310*10)</f>
        <v>4335.4838709677424</v>
      </c>
      <c r="C7" s="4">
        <f>+G23</f>
        <v>25.90540154100837</v>
      </c>
      <c r="D7" s="4">
        <f>+B7-'Chiffre d''affaire'!F8</f>
        <v>135.4838709677424</v>
      </c>
      <c r="E7" s="4">
        <f t="shared" si="0"/>
        <v>3509.7640797495333</v>
      </c>
    </row>
    <row r="8" spans="1:8">
      <c r="A8" s="3" t="s">
        <v>92</v>
      </c>
      <c r="B8" s="4">
        <f>+'Chiffre d''affaire'!F9+('Chiffre d''affaire'!F9/310*10)</f>
        <v>4335.4838709677424</v>
      </c>
      <c r="C8" s="4">
        <f>+H23</f>
        <v>28.935401541008371</v>
      </c>
      <c r="D8" s="4">
        <f>+B8-'Chiffre d''affaire'!F9</f>
        <v>135.4838709677424</v>
      </c>
      <c r="E8" s="4">
        <f t="shared" si="0"/>
        <v>3920.2802087817927</v>
      </c>
    </row>
    <row r="9" spans="1:8" ht="12.75" thickBot="1">
      <c r="A9" s="19"/>
      <c r="B9" s="8">
        <f>SUM(B2:B8)</f>
        <v>133285.16129032258</v>
      </c>
      <c r="C9" s="19"/>
      <c r="D9" s="8">
        <f>SUM(D2:D8)</f>
        <v>4165.1612903225832</v>
      </c>
      <c r="E9" s="8">
        <f>SUM(E2:E8)</f>
        <v>40538.500870161348</v>
      </c>
    </row>
    <row r="10" spans="1:8" ht="12.75" thickTop="1"/>
    <row r="12" spans="1:8">
      <c r="A12" s="28"/>
      <c r="B12" s="28" t="s">
        <v>5</v>
      </c>
      <c r="C12" s="28" t="s">
        <v>6</v>
      </c>
      <c r="D12" s="28" t="s">
        <v>7</v>
      </c>
      <c r="E12" s="28" t="s">
        <v>45</v>
      </c>
      <c r="F12" s="28" t="s">
        <v>43</v>
      </c>
      <c r="G12" s="28" t="s">
        <v>44</v>
      </c>
      <c r="H12" s="28" t="s">
        <v>113</v>
      </c>
    </row>
    <row r="13" spans="1:8">
      <c r="A13" s="171" t="s">
        <v>325</v>
      </c>
      <c r="B13" s="4"/>
      <c r="C13" s="4"/>
      <c r="D13" s="4"/>
      <c r="E13" s="4"/>
      <c r="F13" s="4"/>
      <c r="G13" s="4"/>
      <c r="H13" s="4"/>
    </row>
    <row r="14" spans="1:8">
      <c r="A14" s="3" t="s">
        <v>47</v>
      </c>
      <c r="B14" s="4">
        <f>'Achat Matière'!C3</f>
        <v>2.8</v>
      </c>
      <c r="C14" s="4">
        <f>+'Achat Matière'!C4</f>
        <v>5.0999999999999996</v>
      </c>
      <c r="D14" s="4">
        <f>+'Achat Matière'!C5</f>
        <v>3.8</v>
      </c>
      <c r="E14" s="4">
        <f>+'Achat Matière'!C6</f>
        <v>24</v>
      </c>
      <c r="F14" s="4">
        <f>+'Achat Matière'!C7</f>
        <v>24</v>
      </c>
      <c r="G14" s="4">
        <f>+'Achat Matière'!C8</f>
        <v>22</v>
      </c>
      <c r="H14" s="4">
        <f>+'Achat Matière'!C9</f>
        <v>25</v>
      </c>
    </row>
    <row r="15" spans="1:8">
      <c r="A15" s="3" t="s">
        <v>29</v>
      </c>
      <c r="B15" s="4">
        <f>+Données!$B$35/1000*60</f>
        <v>1.3309800000000001</v>
      </c>
      <c r="C15" s="4">
        <f>+Données!$B$35/1000*60</f>
        <v>1.3309800000000001</v>
      </c>
      <c r="D15" s="4">
        <f>+Données!$B$35/1000*60</f>
        <v>1.3309800000000001</v>
      </c>
      <c r="E15" s="4">
        <f>+Données!$B$35/1000*60</f>
        <v>1.3309800000000001</v>
      </c>
      <c r="F15" s="4">
        <f>+Données!$B$35/1000*60</f>
        <v>1.3309800000000001</v>
      </c>
      <c r="G15" s="4">
        <f>+Données!$B$35/1000*60</f>
        <v>1.3309800000000001</v>
      </c>
      <c r="H15" s="4">
        <f>+Données!$B$35/1000*60</f>
        <v>1.3309800000000001</v>
      </c>
    </row>
    <row r="16" spans="1:8">
      <c r="A16" s="3" t="s">
        <v>50</v>
      </c>
      <c r="B16" s="4">
        <f>+'Achat Matière'!$F$14/1000*50</f>
        <v>0.54999999999999993</v>
      </c>
      <c r="C16" s="4">
        <f>+'Achat Matière'!$F$14/1000*50</f>
        <v>0.54999999999999993</v>
      </c>
      <c r="D16" s="4">
        <f>+'Achat Matière'!$F$14/1000*50</f>
        <v>0.54999999999999993</v>
      </c>
      <c r="E16" s="4">
        <f>+'Achat Matière'!$F$14/1000*50</f>
        <v>0.54999999999999993</v>
      </c>
      <c r="F16" s="4">
        <f>+'Achat Matière'!$F$14/1000*50</f>
        <v>0.54999999999999993</v>
      </c>
      <c r="G16" s="4">
        <f>+'Achat Matière'!$F$14/1000*50</f>
        <v>0.54999999999999993</v>
      </c>
      <c r="H16" s="4">
        <f>+'Achat Matière'!$F$14/1000*50</f>
        <v>0.54999999999999993</v>
      </c>
    </row>
    <row r="17" spans="1:8">
      <c r="A17" s="3" t="s">
        <v>33</v>
      </c>
      <c r="B17" s="4">
        <f>+'Chiffre d''affaire'!D3*10*0.01</f>
        <v>0.1</v>
      </c>
      <c r="C17" s="4">
        <f>+'Chiffre d''affaire'!D4*10*0.01</f>
        <v>0.14000000000000001</v>
      </c>
      <c r="D17" s="4">
        <f>+'Chiffre d''affaire'!D5*10*0.01</f>
        <v>0.12</v>
      </c>
      <c r="E17" s="4">
        <f>+'Chiffre d''affaire'!D6*10*0.01</f>
        <v>0.35000000000000003</v>
      </c>
      <c r="F17" s="4">
        <f>+'Chiffre d''affaire'!$D$7*10*0.01</f>
        <v>0.35000000000000003</v>
      </c>
      <c r="G17" s="4">
        <f>+'Chiffre d''affaire'!$D$8*10*0.01</f>
        <v>0.35000000000000003</v>
      </c>
      <c r="H17" s="4">
        <f>+'Chiffre d''affaire'!$D$9*10*0.01</f>
        <v>0.35000000000000003</v>
      </c>
    </row>
    <row r="18" spans="1:8">
      <c r="A18" s="3" t="s">
        <v>34</v>
      </c>
      <c r="B18" s="4">
        <f>+'Chiffre d''affaire'!D3*10*0.01</f>
        <v>0.1</v>
      </c>
      <c r="C18" s="4">
        <f>+'Chiffre d''affaire'!D4*10*0.01</f>
        <v>0.14000000000000001</v>
      </c>
      <c r="D18" s="4">
        <f>+'Chiffre d''affaire'!D5*10*0.01</f>
        <v>0.12</v>
      </c>
      <c r="E18" s="4">
        <f>+'Chiffre d''affaire'!D6*10*0.01</f>
        <v>0.35000000000000003</v>
      </c>
      <c r="F18" s="4">
        <f>+'Chiffre d''affaire'!$D$7*10*0.01</f>
        <v>0.35000000000000003</v>
      </c>
      <c r="G18" s="4">
        <f>+'Chiffre d''affaire'!$D$8*10*0.01</f>
        <v>0.35000000000000003</v>
      </c>
      <c r="H18" s="4">
        <f>+'Chiffre d''affaire'!$D$9*10*0.01</f>
        <v>0.35000000000000003</v>
      </c>
    </row>
    <row r="19" spans="1:8">
      <c r="A19" s="3" t="s">
        <v>35</v>
      </c>
      <c r="B19" s="4">
        <f>+'Chiffre d''affaire'!D3*10*0.005</f>
        <v>0.05</v>
      </c>
      <c r="C19" s="4">
        <f>+'Chiffre d''affaire'!D4*10*0.005</f>
        <v>7.0000000000000007E-2</v>
      </c>
      <c r="D19" s="4">
        <f>+'Chiffre d''affaire'!D5*10*0.005</f>
        <v>0.06</v>
      </c>
      <c r="E19" s="4">
        <f>+'Chiffre d''affaire'!D6*10*0.005</f>
        <v>0.17500000000000002</v>
      </c>
      <c r="F19" s="4">
        <f>+'Chiffre d''affaire'!$D$7*10*0.005</f>
        <v>0.17500000000000002</v>
      </c>
      <c r="G19" s="4">
        <f>+'Chiffre d''affaire'!$D$8*10*0.005</f>
        <v>0.17500000000000002</v>
      </c>
      <c r="H19" s="4">
        <f>+'Chiffre d''affaire'!$D$9*10*0.005</f>
        <v>0.17500000000000002</v>
      </c>
    </row>
    <row r="20" spans="1:8">
      <c r="A20" s="3" t="s">
        <v>48</v>
      </c>
      <c r="B20" s="4">
        <f>+SALAIRE!$C$27</f>
        <v>0.73907071909851307</v>
      </c>
      <c r="C20" s="4">
        <f>+SALAIRE!$C$27</f>
        <v>0.73907071909851307</v>
      </c>
      <c r="D20" s="4">
        <f>+SALAIRE!$C$27</f>
        <v>0.73907071909851307</v>
      </c>
      <c r="E20" s="4">
        <f>+SALAIRE!$C$27</f>
        <v>0.73907071909851307</v>
      </c>
      <c r="F20" s="4">
        <f>+SALAIRE!$C$27</f>
        <v>0.73907071909851307</v>
      </c>
      <c r="G20" s="4">
        <f>+SALAIRE!$C$27</f>
        <v>0.73907071909851307</v>
      </c>
      <c r="H20" s="4">
        <f>+SALAIRE!$C$27</f>
        <v>0.73907071909851307</v>
      </c>
    </row>
    <row r="21" spans="1:8">
      <c r="A21" s="3" t="s">
        <v>49</v>
      </c>
      <c r="B21" s="4">
        <f>+Investissements!$F$6/'Calcul Coût Ption'!$B$9</f>
        <v>0.19035082190985134</v>
      </c>
      <c r="C21" s="4">
        <f>+Investissements!$F$6/'Calcul Coût Ption'!$B$9</f>
        <v>0.19035082190985134</v>
      </c>
      <c r="D21" s="4">
        <f>+Investissements!$F$6/'Calcul Coût Ption'!$B$9</f>
        <v>0.19035082190985134</v>
      </c>
      <c r="E21" s="4">
        <f>+Investissements!$F$6/'Calcul Coût Ption'!$B$9</f>
        <v>0.19035082190985134</v>
      </c>
      <c r="F21" s="4">
        <f>+Investissements!$F$6/'Calcul Coût Ption'!$B$9</f>
        <v>0.19035082190985134</v>
      </c>
      <c r="G21" s="4">
        <f>+Investissements!$F$6/'Calcul Coût Ption'!$B$9</f>
        <v>0.19035082190985134</v>
      </c>
      <c r="H21" s="4">
        <f>+Investissements!$F$6/'Calcul Coût Ption'!$B$9</f>
        <v>0.19035082190985134</v>
      </c>
    </row>
    <row r="22" spans="1:8">
      <c r="A22" s="3" t="s">
        <v>136</v>
      </c>
      <c r="B22" s="4">
        <f>1%*B14</f>
        <v>2.7999999999999997E-2</v>
      </c>
      <c r="C22" s="4">
        <f t="shared" ref="C22:H22" si="1">1%*C14</f>
        <v>5.0999999999999997E-2</v>
      </c>
      <c r="D22" s="4">
        <f t="shared" si="1"/>
        <v>3.7999999999999999E-2</v>
      </c>
      <c r="E22" s="4">
        <f t="shared" si="1"/>
        <v>0.24</v>
      </c>
      <c r="F22" s="4">
        <f t="shared" si="1"/>
        <v>0.24</v>
      </c>
      <c r="G22" s="4">
        <f t="shared" si="1"/>
        <v>0.22</v>
      </c>
      <c r="H22" s="4">
        <f t="shared" si="1"/>
        <v>0.25</v>
      </c>
    </row>
    <row r="23" spans="1:8">
      <c r="B23" s="48">
        <f>SUM(B14:B22)</f>
        <v>5.8884015410083634</v>
      </c>
      <c r="C23" s="48">
        <f t="shared" ref="C23:H23" si="2">SUM(C14:C22)</f>
        <v>8.3114015410083635</v>
      </c>
      <c r="D23" s="48">
        <f>SUM(D14:D22)</f>
        <v>6.9484015410083648</v>
      </c>
      <c r="E23" s="48">
        <f t="shared" si="2"/>
        <v>27.92540154100837</v>
      </c>
      <c r="F23" s="48">
        <f t="shared" si="2"/>
        <v>27.92540154100837</v>
      </c>
      <c r="G23" s="48">
        <f t="shared" si="2"/>
        <v>25.90540154100837</v>
      </c>
      <c r="H23" s="48">
        <f t="shared" si="2"/>
        <v>28.935401541008371</v>
      </c>
    </row>
    <row r="24" spans="1:8">
      <c r="A24" s="3" t="s">
        <v>128</v>
      </c>
      <c r="B24" s="172">
        <f>+('Chiffre d''affaire'!D3*10)*0.9</f>
        <v>9</v>
      </c>
      <c r="C24" s="172">
        <f>+('Chiffre d''affaire'!D4*10)*0.9</f>
        <v>12.6</v>
      </c>
      <c r="D24" s="172">
        <f>+'Chiffre d''affaire'!D5*10*0.9</f>
        <v>10.8</v>
      </c>
      <c r="E24" s="172">
        <f>+'Chiffre d''affaire'!D6*10*0.9</f>
        <v>31.5</v>
      </c>
      <c r="F24" s="172">
        <f>+'Chiffre d''affaire'!D7*10*0.9</f>
        <v>31.5</v>
      </c>
      <c r="G24" s="172">
        <f>+'Chiffre d''affaire'!D8*10*0.9</f>
        <v>31.5</v>
      </c>
      <c r="H24" s="172">
        <f>+'Chiffre d''affaire'!D9*10*0.9</f>
        <v>31.5</v>
      </c>
    </row>
    <row r="25" spans="1:8">
      <c r="A25" s="3" t="s">
        <v>129</v>
      </c>
      <c r="B25" s="4">
        <f>+B24-SUM(B14:B19)-B22</f>
        <v>4.0410200000000014</v>
      </c>
      <c r="C25" s="4">
        <f t="shared" ref="C25:H25" si="3">+C24-SUM(C14:C19)-C22</f>
        <v>5.2180200000000001</v>
      </c>
      <c r="D25" s="4">
        <f t="shared" si="3"/>
        <v>4.7810200000000007</v>
      </c>
      <c r="E25" s="4">
        <f t="shared" si="3"/>
        <v>4.5040199999999952</v>
      </c>
      <c r="F25" s="4">
        <f t="shared" si="3"/>
        <v>4.5040199999999952</v>
      </c>
      <c r="G25" s="4">
        <f t="shared" si="3"/>
        <v>6.5240199999999957</v>
      </c>
      <c r="H25" s="4">
        <f t="shared" si="3"/>
        <v>3.4940199999999955</v>
      </c>
    </row>
    <row r="26" spans="1:8">
      <c r="A26" s="3" t="s">
        <v>126</v>
      </c>
      <c r="B26" s="314">
        <f>+B25/B24</f>
        <v>0.44900222222222236</v>
      </c>
      <c r="C26" s="314">
        <f>+C25/C24</f>
        <v>0.41412857142857146</v>
      </c>
      <c r="D26" s="314">
        <f t="shared" ref="D26:G26" si="4">+D25/D24</f>
        <v>0.4426870370370371</v>
      </c>
      <c r="E26" s="314">
        <f t="shared" si="4"/>
        <v>0.14298476190476175</v>
      </c>
      <c r="F26" s="314">
        <f t="shared" si="4"/>
        <v>0.14298476190476175</v>
      </c>
      <c r="G26" s="314">
        <f t="shared" si="4"/>
        <v>0.2071117460317459</v>
      </c>
      <c r="H26" s="314">
        <f>+H25/H24</f>
        <v>0.1109212698412697</v>
      </c>
    </row>
    <row r="27" spans="1:8">
      <c r="B27" s="180">
        <f>+'Taux de marge'!G4</f>
        <v>0.45322953957350676</v>
      </c>
      <c r="C27" s="180">
        <f>+'Taux de marge'!G5</f>
        <v>0.41740410020739471</v>
      </c>
      <c r="D27" s="180">
        <f>+'Taux de marge'!G6</f>
        <v>0.44635914438771923</v>
      </c>
      <c r="E27" s="180">
        <f>+'Taux de marge'!G7</f>
        <v>0.14483260782489332</v>
      </c>
      <c r="F27" s="180">
        <f>+'Taux de marge'!G8</f>
        <v>0.14483260782489332</v>
      </c>
      <c r="G27" s="180">
        <f>+'Taux de marge'!G9</f>
        <v>0.20895959195187758</v>
      </c>
      <c r="H27" s="180">
        <f>+'Taux de marge'!G10</f>
        <v>0.11276911576140126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23"/>
  <sheetViews>
    <sheetView workbookViewId="0">
      <pane xSplit="1" topLeftCell="P1" activePane="topRight" state="frozen"/>
      <selection activeCell="A2" sqref="A2"/>
      <selection pane="topRight" activeCell="E10" sqref="E10"/>
    </sheetView>
  </sheetViews>
  <sheetFormatPr baseColWidth="10" defaultRowHeight="12"/>
  <cols>
    <col min="1" max="1" width="22.85546875" style="3" bestFit="1" customWidth="1"/>
    <col min="2" max="9" width="11.42578125" style="3" customWidth="1"/>
    <col min="10" max="16384" width="11.42578125" style="3"/>
  </cols>
  <sheetData>
    <row r="1" spans="1:29">
      <c r="B1" s="464">
        <v>2016</v>
      </c>
      <c r="C1" s="464"/>
      <c r="D1" s="464"/>
      <c r="E1" s="464"/>
      <c r="F1" s="464">
        <v>2017</v>
      </c>
      <c r="G1" s="464"/>
      <c r="H1" s="464"/>
      <c r="I1" s="464"/>
      <c r="J1" s="464">
        <v>2018</v>
      </c>
      <c r="K1" s="464"/>
      <c r="L1" s="464"/>
      <c r="M1" s="464"/>
      <c r="N1" s="464">
        <v>2019</v>
      </c>
      <c r="O1" s="464"/>
      <c r="P1" s="464"/>
      <c r="Q1" s="464"/>
      <c r="R1" s="464">
        <v>2020</v>
      </c>
      <c r="S1" s="464"/>
      <c r="T1" s="464"/>
      <c r="U1" s="464"/>
      <c r="V1" s="464">
        <v>2021</v>
      </c>
      <c r="W1" s="464"/>
      <c r="X1" s="464"/>
      <c r="Y1" s="464"/>
      <c r="Z1" s="464">
        <v>2022</v>
      </c>
      <c r="AA1" s="464"/>
      <c r="AB1" s="464"/>
      <c r="AC1" s="464"/>
    </row>
    <row r="2" spans="1:29" ht="15" customHeight="1" thickBot="1">
      <c r="A2" s="56" t="s">
        <v>0</v>
      </c>
      <c r="B2" s="57" t="s">
        <v>503</v>
      </c>
      <c r="C2" s="57" t="s">
        <v>46</v>
      </c>
      <c r="D2" s="57" t="s">
        <v>114</v>
      </c>
      <c r="E2" s="57" t="s">
        <v>115</v>
      </c>
      <c r="F2" s="57" t="s">
        <v>503</v>
      </c>
      <c r="G2" s="57" t="s">
        <v>46</v>
      </c>
      <c r="H2" s="57" t="s">
        <v>114</v>
      </c>
      <c r="I2" s="57" t="s">
        <v>115</v>
      </c>
      <c r="J2" s="57" t="s">
        <v>503</v>
      </c>
      <c r="K2" s="57" t="s">
        <v>46</v>
      </c>
      <c r="L2" s="57" t="s">
        <v>114</v>
      </c>
      <c r="M2" s="57" t="s">
        <v>115</v>
      </c>
      <c r="N2" s="57" t="s">
        <v>503</v>
      </c>
      <c r="O2" s="57" t="s">
        <v>46</v>
      </c>
      <c r="P2" s="57" t="s">
        <v>114</v>
      </c>
      <c r="Q2" s="57" t="s">
        <v>115</v>
      </c>
      <c r="R2" s="57" t="s">
        <v>503</v>
      </c>
      <c r="S2" s="57" t="s">
        <v>46</v>
      </c>
      <c r="T2" s="57" t="s">
        <v>114</v>
      </c>
      <c r="U2" s="57" t="s">
        <v>115</v>
      </c>
      <c r="V2" s="57" t="s">
        <v>503</v>
      </c>
      <c r="W2" s="57" t="s">
        <v>46</v>
      </c>
      <c r="X2" s="57" t="s">
        <v>114</v>
      </c>
      <c r="Y2" s="57" t="s">
        <v>115</v>
      </c>
      <c r="Z2" s="57" t="s">
        <v>503</v>
      </c>
      <c r="AA2" s="57" t="s">
        <v>46</v>
      </c>
      <c r="AB2" s="57" t="s">
        <v>114</v>
      </c>
      <c r="AC2" s="57" t="s">
        <v>115</v>
      </c>
    </row>
    <row r="3" spans="1:29" ht="12.75" thickTop="1">
      <c r="A3" s="3" t="s">
        <v>9</v>
      </c>
      <c r="B3" s="4">
        <f>+'Consommations Q'!B4</f>
        <v>37440</v>
      </c>
      <c r="C3" s="4">
        <f>+'Calcul Coût Ption'!C2</f>
        <v>5.8884015410083634</v>
      </c>
      <c r="D3" s="4">
        <f>+B3/310*10</f>
        <v>1207.741935483871</v>
      </c>
      <c r="E3" s="4">
        <f>+C3*D3</f>
        <v>7111.6694740436496</v>
      </c>
      <c r="F3" s="4">
        <f>+'Consommations Q'!G4</f>
        <v>43056</v>
      </c>
      <c r="G3" s="4">
        <f t="shared" ref="G3:G9" si="0">+C3</f>
        <v>5.8884015410083634</v>
      </c>
      <c r="H3" s="4">
        <f>+F3/310*10</f>
        <v>1388.9032258064515</v>
      </c>
      <c r="I3" s="4">
        <f>+G3*H3</f>
        <v>8178.4198951501958</v>
      </c>
      <c r="J3" s="4">
        <f>+'Consommations Q'!L4</f>
        <v>49514.399999999994</v>
      </c>
      <c r="K3" s="4">
        <f t="shared" ref="K3:K9" si="1">+G3</f>
        <v>5.8884015410083634</v>
      </c>
      <c r="L3" s="4">
        <f>+J3/310*10</f>
        <v>1597.2387096774194</v>
      </c>
      <c r="M3" s="4">
        <f>+K3*L3</f>
        <v>9405.1828794227258</v>
      </c>
      <c r="N3" s="4">
        <f>+'Consommations Q'!Q4</f>
        <v>56941.55999999999</v>
      </c>
      <c r="O3" s="4">
        <f t="shared" ref="O3:O9" si="2">+K3</f>
        <v>5.8884015410083634</v>
      </c>
      <c r="P3" s="4">
        <f>+N3/310*10</f>
        <v>1836.824516129032</v>
      </c>
      <c r="Q3" s="4">
        <f>+O3*P3</f>
        <v>10815.960311336134</v>
      </c>
      <c r="R3" s="4">
        <f>+'Consommations Q'!V4</f>
        <v>65482.793999999987</v>
      </c>
      <c r="S3" s="4">
        <f t="shared" ref="S3:S9" si="3">+O3</f>
        <v>5.8884015410083634</v>
      </c>
      <c r="T3" s="4">
        <f>+R3/310*10</f>
        <v>2112.3481935483865</v>
      </c>
      <c r="U3" s="4">
        <f>+S3*T3</f>
        <v>12438.354358036551</v>
      </c>
      <c r="V3" s="4">
        <f>+'Consommations Q'!AA4</f>
        <v>65482.793999999987</v>
      </c>
      <c r="W3" s="4">
        <f t="shared" ref="W3:W9" si="4">+S3</f>
        <v>5.8884015410083634</v>
      </c>
      <c r="X3" s="4">
        <f>+V3/310*10</f>
        <v>2112.3481935483865</v>
      </c>
      <c r="Y3" s="4">
        <f>+W3*X3</f>
        <v>12438.354358036551</v>
      </c>
      <c r="Z3" s="4">
        <f>+'Consommations Q'!AF4</f>
        <v>65482.793999999987</v>
      </c>
      <c r="AA3" s="4">
        <f t="shared" ref="AA3:AA9" si="5">+W3</f>
        <v>5.8884015410083634</v>
      </c>
      <c r="AB3" s="4">
        <f>+Z3/310*10</f>
        <v>2112.3481935483865</v>
      </c>
      <c r="AC3" s="4">
        <f>+AA3*AB3</f>
        <v>12438.354358036551</v>
      </c>
    </row>
    <row r="4" spans="1:29">
      <c r="A4" s="3" t="s">
        <v>10</v>
      </c>
      <c r="B4" s="4">
        <f>+'Consommations Q'!B5</f>
        <v>37440</v>
      </c>
      <c r="C4" s="4">
        <f>+'Calcul Coût Ption'!C3</f>
        <v>8.3114015410083635</v>
      </c>
      <c r="D4" s="4">
        <f t="shared" ref="D4:D9" si="6">+B4/310*10</f>
        <v>1207.741935483871</v>
      </c>
      <c r="E4" s="4">
        <f t="shared" ref="E4:E9" si="7">+C4*D4</f>
        <v>10038.02818372107</v>
      </c>
      <c r="F4" s="4">
        <f>+'Consommations Q'!G5</f>
        <v>43056</v>
      </c>
      <c r="G4" s="4">
        <f t="shared" si="0"/>
        <v>8.3114015410083635</v>
      </c>
      <c r="H4" s="4">
        <f t="shared" ref="H4:H9" si="8">+F4/310*10</f>
        <v>1388.9032258064515</v>
      </c>
      <c r="I4" s="4">
        <f t="shared" ref="I4:I8" si="9">+G4*H4</f>
        <v>11543.732411279228</v>
      </c>
      <c r="J4" s="4">
        <f>+'Consommations Q'!L5</f>
        <v>49514.399999999994</v>
      </c>
      <c r="K4" s="4">
        <f t="shared" si="1"/>
        <v>8.3114015410083635</v>
      </c>
      <c r="L4" s="4">
        <f t="shared" ref="L4:L9" si="10">+J4/310*10</f>
        <v>1597.2387096774194</v>
      </c>
      <c r="M4" s="4">
        <f t="shared" ref="M4:M9" si="11">+K4*L4</f>
        <v>13275.292272971114</v>
      </c>
      <c r="N4" s="4">
        <f>+'Consommations Q'!Q5</f>
        <v>56941.55999999999</v>
      </c>
      <c r="O4" s="4">
        <f t="shared" si="2"/>
        <v>8.3114015410083635</v>
      </c>
      <c r="P4" s="4">
        <f t="shared" ref="P4:P9" si="12">+N4/310*10</f>
        <v>1836.824516129032</v>
      </c>
      <c r="Q4" s="4">
        <f t="shared" ref="Q4:Q9" si="13">+O4*P4</f>
        <v>15266.586113916777</v>
      </c>
      <c r="R4" s="4">
        <f>+'Consommations Q'!V5</f>
        <v>65482.793999999987</v>
      </c>
      <c r="S4" s="4">
        <f t="shared" si="3"/>
        <v>8.3114015410083635</v>
      </c>
      <c r="T4" s="4">
        <f t="shared" ref="T4:T9" si="14">+R4/310*10</f>
        <v>2112.3481935483865</v>
      </c>
      <c r="U4" s="4">
        <f t="shared" ref="U4:U9" si="15">+S4*T4</f>
        <v>17556.574031004293</v>
      </c>
      <c r="V4" s="4">
        <f>+'Consommations Q'!AA5</f>
        <v>65482.793999999987</v>
      </c>
      <c r="W4" s="4">
        <f t="shared" si="4"/>
        <v>8.3114015410083635</v>
      </c>
      <c r="X4" s="4">
        <f t="shared" ref="X4:X9" si="16">+V4/310*10</f>
        <v>2112.3481935483865</v>
      </c>
      <c r="Y4" s="4">
        <f t="shared" ref="Y4:Y9" si="17">+W4*X4</f>
        <v>17556.574031004293</v>
      </c>
      <c r="Z4" s="4">
        <f>+'Consommations Q'!AF5</f>
        <v>65482.793999999987</v>
      </c>
      <c r="AA4" s="4">
        <f t="shared" si="5"/>
        <v>8.3114015410083635</v>
      </c>
      <c r="AB4" s="4">
        <f t="shared" ref="AB4:AB9" si="18">+Z4/310*10</f>
        <v>2112.3481935483865</v>
      </c>
      <c r="AC4" s="4">
        <f t="shared" ref="AC4:AC9" si="19">+AA4*AB4</f>
        <v>17556.574031004293</v>
      </c>
    </row>
    <row r="5" spans="1:29">
      <c r="A5" s="3" t="s">
        <v>11</v>
      </c>
      <c r="B5" s="4">
        <f>+'Consommations Q'!B6</f>
        <v>37440</v>
      </c>
      <c r="C5" s="4">
        <f>+'Calcul Coût Ption'!C4</f>
        <v>6.9484015410083648</v>
      </c>
      <c r="D5" s="4">
        <f t="shared" si="6"/>
        <v>1207.741935483871</v>
      </c>
      <c r="E5" s="4">
        <f t="shared" si="7"/>
        <v>8391.8759256565536</v>
      </c>
      <c r="F5" s="4">
        <f>+'Consommations Q'!G6</f>
        <v>43056</v>
      </c>
      <c r="G5" s="4">
        <f t="shared" si="0"/>
        <v>6.9484015410083648</v>
      </c>
      <c r="H5" s="4">
        <f t="shared" si="8"/>
        <v>1388.9032258064515</v>
      </c>
      <c r="I5" s="4">
        <f t="shared" si="9"/>
        <v>9650.657314505037</v>
      </c>
      <c r="J5" s="4">
        <f>+'Consommations Q'!L6</f>
        <v>49514.399999999994</v>
      </c>
      <c r="K5" s="4">
        <f t="shared" si="1"/>
        <v>6.9484015410083648</v>
      </c>
      <c r="L5" s="4">
        <f t="shared" si="10"/>
        <v>1597.2387096774194</v>
      </c>
      <c r="M5" s="4">
        <f t="shared" si="11"/>
        <v>11098.255911680793</v>
      </c>
      <c r="N5" s="4">
        <f>+'Consommations Q'!Q6</f>
        <v>56941.55999999999</v>
      </c>
      <c r="O5" s="4">
        <f t="shared" si="2"/>
        <v>6.9484015410083648</v>
      </c>
      <c r="P5" s="4">
        <f t="shared" si="12"/>
        <v>1836.824516129032</v>
      </c>
      <c r="Q5" s="4">
        <f t="shared" si="13"/>
        <v>12762.99429843291</v>
      </c>
      <c r="R5" s="4">
        <f>+'Consommations Q'!V6</f>
        <v>65482.793999999987</v>
      </c>
      <c r="S5" s="4">
        <f t="shared" si="3"/>
        <v>6.9484015410083648</v>
      </c>
      <c r="T5" s="4">
        <f t="shared" si="14"/>
        <v>2112.3481935483865</v>
      </c>
      <c r="U5" s="4">
        <f t="shared" si="15"/>
        <v>14677.443443197844</v>
      </c>
      <c r="V5" s="4">
        <f>+'Consommations Q'!AA6</f>
        <v>65482.793999999987</v>
      </c>
      <c r="W5" s="4">
        <f t="shared" si="4"/>
        <v>6.9484015410083648</v>
      </c>
      <c r="X5" s="4">
        <f t="shared" si="16"/>
        <v>2112.3481935483865</v>
      </c>
      <c r="Y5" s="4">
        <f t="shared" si="17"/>
        <v>14677.443443197844</v>
      </c>
      <c r="Z5" s="4">
        <f>+'Consommations Q'!AF6</f>
        <v>65482.793999999987</v>
      </c>
      <c r="AA5" s="4">
        <f t="shared" si="5"/>
        <v>6.9484015410083648</v>
      </c>
      <c r="AB5" s="4">
        <f t="shared" si="18"/>
        <v>2112.3481935483865</v>
      </c>
      <c r="AC5" s="4">
        <f t="shared" si="19"/>
        <v>14677.443443197844</v>
      </c>
    </row>
    <row r="6" spans="1:29">
      <c r="A6" s="3" t="s">
        <v>45</v>
      </c>
      <c r="B6" s="4">
        <f>+'Consommations Q'!B7</f>
        <v>4200</v>
      </c>
      <c r="C6" s="4">
        <f>+'Calcul Coût Ption'!C5</f>
        <v>27.92540154100837</v>
      </c>
      <c r="D6" s="4">
        <f t="shared" si="6"/>
        <v>135.48387096774195</v>
      </c>
      <c r="E6" s="4">
        <f t="shared" si="7"/>
        <v>3783.44149910436</v>
      </c>
      <c r="F6" s="4">
        <f>+'Consommations Q'!G7</f>
        <v>4830</v>
      </c>
      <c r="G6" s="4">
        <f t="shared" si="0"/>
        <v>27.92540154100837</v>
      </c>
      <c r="H6" s="4">
        <f t="shared" si="8"/>
        <v>155.80645161290323</v>
      </c>
      <c r="I6" s="4">
        <f t="shared" si="9"/>
        <v>4350.9577239700138</v>
      </c>
      <c r="J6" s="4">
        <f>+'Consommations Q'!L7</f>
        <v>5554.5</v>
      </c>
      <c r="K6" s="4">
        <f t="shared" si="1"/>
        <v>27.92540154100837</v>
      </c>
      <c r="L6" s="4">
        <f t="shared" si="10"/>
        <v>179.17741935483872</v>
      </c>
      <c r="M6" s="4">
        <f t="shared" si="11"/>
        <v>5003.6013825655164</v>
      </c>
      <c r="N6" s="4">
        <f>+'Consommations Q'!Q7</f>
        <v>6387.6749999999993</v>
      </c>
      <c r="O6" s="4">
        <f t="shared" si="2"/>
        <v>27.92540154100837</v>
      </c>
      <c r="P6" s="4">
        <f t="shared" si="12"/>
        <v>206.05403225806447</v>
      </c>
      <c r="Q6" s="4">
        <f t="shared" si="13"/>
        <v>5754.1415899503418</v>
      </c>
      <c r="R6" s="4">
        <f>+'Consommations Q'!V7</f>
        <v>7345.8262499999983</v>
      </c>
      <c r="S6" s="4">
        <f t="shared" si="3"/>
        <v>27.92540154100837</v>
      </c>
      <c r="T6" s="4">
        <f t="shared" si="14"/>
        <v>236.96213709677411</v>
      </c>
      <c r="U6" s="4">
        <f t="shared" si="15"/>
        <v>6617.262828442892</v>
      </c>
      <c r="V6" s="4">
        <f>+'Consommations Q'!AA7</f>
        <v>7345.8262499999983</v>
      </c>
      <c r="W6" s="4">
        <f t="shared" si="4"/>
        <v>27.92540154100837</v>
      </c>
      <c r="X6" s="4">
        <f t="shared" si="16"/>
        <v>236.96213709677411</v>
      </c>
      <c r="Y6" s="4">
        <f t="shared" si="17"/>
        <v>6617.262828442892</v>
      </c>
      <c r="Z6" s="4">
        <f>+'Consommations Q'!AF7</f>
        <v>7345.8262499999983</v>
      </c>
      <c r="AA6" s="4">
        <f t="shared" si="5"/>
        <v>27.92540154100837</v>
      </c>
      <c r="AB6" s="4">
        <f t="shared" si="18"/>
        <v>236.96213709677411</v>
      </c>
      <c r="AC6" s="4">
        <f t="shared" si="19"/>
        <v>6617.262828442892</v>
      </c>
    </row>
    <row r="7" spans="1:29">
      <c r="A7" s="3" t="s">
        <v>43</v>
      </c>
      <c r="B7" s="4">
        <f>+'Consommations Q'!B8</f>
        <v>4200</v>
      </c>
      <c r="C7" s="4">
        <f>+'Calcul Coût Ption'!C6</f>
        <v>27.92540154100837</v>
      </c>
      <c r="D7" s="4">
        <f t="shared" si="6"/>
        <v>135.48387096774195</v>
      </c>
      <c r="E7" s="4">
        <f t="shared" si="7"/>
        <v>3783.44149910436</v>
      </c>
      <c r="F7" s="4">
        <f>+'Consommations Q'!G8</f>
        <v>4830</v>
      </c>
      <c r="G7" s="4">
        <f t="shared" si="0"/>
        <v>27.92540154100837</v>
      </c>
      <c r="H7" s="4">
        <f t="shared" si="8"/>
        <v>155.80645161290323</v>
      </c>
      <c r="I7" s="4">
        <f t="shared" si="9"/>
        <v>4350.9577239700138</v>
      </c>
      <c r="J7" s="4">
        <f>+'Consommations Q'!L8</f>
        <v>5554.5</v>
      </c>
      <c r="K7" s="4">
        <f t="shared" si="1"/>
        <v>27.92540154100837</v>
      </c>
      <c r="L7" s="4">
        <f t="shared" si="10"/>
        <v>179.17741935483872</v>
      </c>
      <c r="M7" s="4">
        <f t="shared" si="11"/>
        <v>5003.6013825655164</v>
      </c>
      <c r="N7" s="4">
        <f>+'Consommations Q'!Q8</f>
        <v>6387.6749999999993</v>
      </c>
      <c r="O7" s="4">
        <f t="shared" si="2"/>
        <v>27.92540154100837</v>
      </c>
      <c r="P7" s="4">
        <f t="shared" si="12"/>
        <v>206.05403225806447</v>
      </c>
      <c r="Q7" s="4">
        <f t="shared" si="13"/>
        <v>5754.1415899503418</v>
      </c>
      <c r="R7" s="4">
        <f>+'Consommations Q'!V8</f>
        <v>7345.8262499999983</v>
      </c>
      <c r="S7" s="4">
        <f t="shared" si="3"/>
        <v>27.92540154100837</v>
      </c>
      <c r="T7" s="4">
        <f t="shared" si="14"/>
        <v>236.96213709677411</v>
      </c>
      <c r="U7" s="4">
        <f t="shared" si="15"/>
        <v>6617.262828442892</v>
      </c>
      <c r="V7" s="4">
        <f>+'Consommations Q'!AA8</f>
        <v>7345.8262499999983</v>
      </c>
      <c r="W7" s="4">
        <f t="shared" si="4"/>
        <v>27.92540154100837</v>
      </c>
      <c r="X7" s="4">
        <f t="shared" si="16"/>
        <v>236.96213709677411</v>
      </c>
      <c r="Y7" s="4">
        <f t="shared" si="17"/>
        <v>6617.262828442892</v>
      </c>
      <c r="Z7" s="4">
        <f>+'Consommations Q'!AF8</f>
        <v>7345.8262499999983</v>
      </c>
      <c r="AA7" s="4">
        <f t="shared" si="5"/>
        <v>27.92540154100837</v>
      </c>
      <c r="AB7" s="4">
        <f t="shared" si="18"/>
        <v>236.96213709677411</v>
      </c>
      <c r="AC7" s="4">
        <f t="shared" si="19"/>
        <v>6617.262828442892</v>
      </c>
    </row>
    <row r="8" spans="1:29">
      <c r="A8" s="3" t="s">
        <v>44</v>
      </c>
      <c r="B8" s="4">
        <f>+'Consommations Q'!B9</f>
        <v>4200</v>
      </c>
      <c r="C8" s="4">
        <f>+'Calcul Coût Ption'!C7</f>
        <v>25.90540154100837</v>
      </c>
      <c r="D8" s="4">
        <f t="shared" si="6"/>
        <v>135.48387096774195</v>
      </c>
      <c r="E8" s="4">
        <f t="shared" si="7"/>
        <v>3509.7640797495214</v>
      </c>
      <c r="F8" s="4">
        <f>+'Consommations Q'!G9</f>
        <v>4830</v>
      </c>
      <c r="G8" s="4">
        <f t="shared" si="0"/>
        <v>25.90540154100837</v>
      </c>
      <c r="H8" s="4">
        <f t="shared" si="8"/>
        <v>155.80645161290323</v>
      </c>
      <c r="I8" s="4">
        <f t="shared" si="9"/>
        <v>4036.2286917119495</v>
      </c>
      <c r="J8" s="4">
        <f>+'Consommations Q'!L9</f>
        <v>5554.5</v>
      </c>
      <c r="K8" s="4">
        <f t="shared" si="1"/>
        <v>25.90540154100837</v>
      </c>
      <c r="L8" s="4">
        <f t="shared" si="10"/>
        <v>179.17741935483872</v>
      </c>
      <c r="M8" s="4">
        <f t="shared" si="11"/>
        <v>4641.6629954687423</v>
      </c>
      <c r="N8" s="4">
        <f>+'Consommations Q'!Q9</f>
        <v>6387.6749999999993</v>
      </c>
      <c r="O8" s="4">
        <f t="shared" si="2"/>
        <v>25.90540154100837</v>
      </c>
      <c r="P8" s="4">
        <f t="shared" si="12"/>
        <v>206.05403225806447</v>
      </c>
      <c r="Q8" s="4">
        <f t="shared" si="13"/>
        <v>5337.9124447890517</v>
      </c>
      <c r="R8" s="4">
        <f>+'Consommations Q'!V9</f>
        <v>7345.8262499999983</v>
      </c>
      <c r="S8" s="4">
        <f t="shared" si="3"/>
        <v>25.90540154100837</v>
      </c>
      <c r="T8" s="4">
        <f t="shared" si="14"/>
        <v>236.96213709677411</v>
      </c>
      <c r="U8" s="4">
        <f t="shared" si="15"/>
        <v>6138.5993115074089</v>
      </c>
      <c r="V8" s="4">
        <f>+'Consommations Q'!AA9</f>
        <v>7345.8262499999983</v>
      </c>
      <c r="W8" s="4">
        <f t="shared" si="4"/>
        <v>25.90540154100837</v>
      </c>
      <c r="X8" s="4">
        <f t="shared" si="16"/>
        <v>236.96213709677411</v>
      </c>
      <c r="Y8" s="4">
        <f t="shared" si="17"/>
        <v>6138.5993115074089</v>
      </c>
      <c r="Z8" s="4">
        <f>+'Consommations Q'!AF9</f>
        <v>7345.8262499999983</v>
      </c>
      <c r="AA8" s="4">
        <f t="shared" si="5"/>
        <v>25.90540154100837</v>
      </c>
      <c r="AB8" s="4">
        <f t="shared" si="18"/>
        <v>236.96213709677411</v>
      </c>
      <c r="AC8" s="4">
        <f t="shared" si="19"/>
        <v>6138.5993115074089</v>
      </c>
    </row>
    <row r="9" spans="1:29">
      <c r="A9" s="3" t="s">
        <v>92</v>
      </c>
      <c r="B9" s="4">
        <f>+'Consommations Q'!B10</f>
        <v>4200</v>
      </c>
      <c r="C9" s="4">
        <f>+'Calcul Coût Ption'!C8</f>
        <v>28.935401541008371</v>
      </c>
      <c r="D9" s="4">
        <f t="shared" si="6"/>
        <v>135.48387096774195</v>
      </c>
      <c r="E9" s="4">
        <f t="shared" si="7"/>
        <v>3920.2802087817799</v>
      </c>
      <c r="F9" s="4">
        <f>+'Consommations Q'!G10</f>
        <v>4830</v>
      </c>
      <c r="G9" s="4">
        <f t="shared" si="0"/>
        <v>28.935401541008371</v>
      </c>
      <c r="H9" s="4">
        <f t="shared" si="8"/>
        <v>155.80645161290323</v>
      </c>
      <c r="I9" s="4">
        <f>+G9*H9</f>
        <v>4508.3222400990462</v>
      </c>
      <c r="J9" s="4">
        <f>+'Consommations Q'!L10</f>
        <v>5554.5</v>
      </c>
      <c r="K9" s="4">
        <f t="shared" si="1"/>
        <v>28.935401541008371</v>
      </c>
      <c r="L9" s="4">
        <f t="shared" si="10"/>
        <v>179.17741935483872</v>
      </c>
      <c r="M9" s="4">
        <f t="shared" si="11"/>
        <v>5184.5705761139034</v>
      </c>
      <c r="N9" s="4">
        <f>+'Consommations Q'!Q10</f>
        <v>6387.6749999999993</v>
      </c>
      <c r="O9" s="4">
        <f t="shared" si="2"/>
        <v>28.935401541008371</v>
      </c>
      <c r="P9" s="4">
        <f t="shared" si="12"/>
        <v>206.05403225806447</v>
      </c>
      <c r="Q9" s="4">
        <f t="shared" si="13"/>
        <v>5962.2561625309872</v>
      </c>
      <c r="R9" s="4">
        <f>+'Consommations Q'!V10</f>
        <v>7345.8262499999983</v>
      </c>
      <c r="S9" s="4">
        <f t="shared" si="3"/>
        <v>28.935401541008371</v>
      </c>
      <c r="T9" s="4">
        <f t="shared" si="14"/>
        <v>236.96213709677411</v>
      </c>
      <c r="U9" s="4">
        <f t="shared" si="15"/>
        <v>6856.5945869106345</v>
      </c>
      <c r="V9" s="4">
        <f>+'Consommations Q'!AA10</f>
        <v>7345.8262499999983</v>
      </c>
      <c r="W9" s="4">
        <f t="shared" si="4"/>
        <v>28.935401541008371</v>
      </c>
      <c r="X9" s="4">
        <f t="shared" si="16"/>
        <v>236.96213709677411</v>
      </c>
      <c r="Y9" s="4">
        <f t="shared" si="17"/>
        <v>6856.5945869106345</v>
      </c>
      <c r="Z9" s="4">
        <f>+'Consommations Q'!AF10</f>
        <v>7345.8262499999983</v>
      </c>
      <c r="AA9" s="4">
        <f t="shared" si="5"/>
        <v>28.935401541008371</v>
      </c>
      <c r="AB9" s="4">
        <f t="shared" si="18"/>
        <v>236.96213709677411</v>
      </c>
      <c r="AC9" s="4">
        <f t="shared" si="19"/>
        <v>6856.5945869106345</v>
      </c>
    </row>
    <row r="10" spans="1:29" ht="12.75" thickBot="1">
      <c r="A10" s="19"/>
      <c r="B10" s="8">
        <f>SUM(B3:B9)</f>
        <v>129120</v>
      </c>
      <c r="C10" s="19"/>
      <c r="D10" s="8">
        <f>SUM(D3:D9)</f>
        <v>4165.1612903225805</v>
      </c>
      <c r="E10" s="8">
        <f>SUM(E3:E9)</f>
        <v>40538.500870161297</v>
      </c>
      <c r="F10" s="8">
        <f>SUM(F3:F9)</f>
        <v>148488</v>
      </c>
      <c r="G10" s="8"/>
      <c r="H10" s="8">
        <f t="shared" ref="H10:U10" si="20">SUM(H3:H9)</f>
        <v>4789.9354838709678</v>
      </c>
      <c r="I10" s="8">
        <f>SUM(I3:I9)</f>
        <v>46619.276000685488</v>
      </c>
      <c r="J10" s="8">
        <f t="shared" si="20"/>
        <v>170761.19999999998</v>
      </c>
      <c r="K10" s="8">
        <f t="shared" si="20"/>
        <v>131.83981078705858</v>
      </c>
      <c r="L10" s="8">
        <f t="shared" si="20"/>
        <v>5508.4258064516143</v>
      </c>
      <c r="M10" s="8">
        <f t="shared" si="20"/>
        <v>53612.167400788312</v>
      </c>
      <c r="N10" s="8">
        <f t="shared" si="20"/>
        <v>196375.37999999992</v>
      </c>
      <c r="O10" s="8">
        <f t="shared" si="20"/>
        <v>131.83981078705858</v>
      </c>
      <c r="P10" s="8">
        <f t="shared" si="20"/>
        <v>6334.6896774193538</v>
      </c>
      <c r="Q10" s="8">
        <f>SUM(Q3:Q9)</f>
        <v>61653.992510906544</v>
      </c>
      <c r="R10" s="8">
        <f t="shared" si="20"/>
        <v>225831.68699999992</v>
      </c>
      <c r="S10" s="8">
        <f t="shared" si="20"/>
        <v>131.83981078705858</v>
      </c>
      <c r="T10" s="8">
        <f t="shared" si="20"/>
        <v>7284.8931290322562</v>
      </c>
      <c r="U10" s="8">
        <f t="shared" si="20"/>
        <v>70902.091387542518</v>
      </c>
      <c r="V10" s="8">
        <f t="shared" ref="V10:Y10" si="21">SUM(V3:V9)</f>
        <v>225831.68699999992</v>
      </c>
      <c r="W10" s="8">
        <f t="shared" si="21"/>
        <v>131.83981078705858</v>
      </c>
      <c r="X10" s="8">
        <f t="shared" si="21"/>
        <v>7284.8931290322562</v>
      </c>
      <c r="Y10" s="8">
        <f t="shared" si="21"/>
        <v>70902.091387542518</v>
      </c>
      <c r="Z10" s="8">
        <f>SUM(Z3:Z9)</f>
        <v>225831.68699999992</v>
      </c>
      <c r="AA10" s="8">
        <f t="shared" ref="AA10:AC10" si="22">SUM(AA3:AA9)</f>
        <v>131.83981078705858</v>
      </c>
      <c r="AB10" s="8">
        <f t="shared" si="22"/>
        <v>7284.8931290322562</v>
      </c>
      <c r="AC10" s="8">
        <f t="shared" si="22"/>
        <v>70902.091387542518</v>
      </c>
    </row>
    <row r="11" spans="1:29" ht="12.75" thickTop="1">
      <c r="D11" s="4"/>
    </row>
    <row r="12" spans="1:29">
      <c r="A12" s="3" t="s">
        <v>331</v>
      </c>
      <c r="B12" s="11"/>
      <c r="E12" s="4">
        <f>0-E10</f>
        <v>-40538.500870161297</v>
      </c>
      <c r="I12" s="4">
        <f>+E10-I10</f>
        <v>-6080.7751305241909</v>
      </c>
      <c r="M12" s="4">
        <f>+I10-M10</f>
        <v>-6992.8914001028243</v>
      </c>
      <c r="Q12" s="4">
        <f>+M10-Q10</f>
        <v>-8041.8251101182323</v>
      </c>
      <c r="U12" s="4">
        <f>+Q10-U10</f>
        <v>-9248.0988766359733</v>
      </c>
      <c r="Y12" s="4">
        <f>+U10-Y10</f>
        <v>0</v>
      </c>
      <c r="AB12" s="4"/>
      <c r="AC12" s="4">
        <f>+Y10-AC10</f>
        <v>0</v>
      </c>
    </row>
    <row r="14" spans="1:29" hidden="1">
      <c r="B14" s="3">
        <v>2016</v>
      </c>
      <c r="C14" s="3">
        <v>2017</v>
      </c>
      <c r="D14" s="3">
        <v>2018</v>
      </c>
      <c r="E14" s="3">
        <v>2019</v>
      </c>
      <c r="F14" s="3">
        <v>2020</v>
      </c>
      <c r="G14" s="3">
        <v>2021</v>
      </c>
      <c r="H14" s="3">
        <v>2022</v>
      </c>
    </row>
    <row r="15" spans="1:29" ht="36.75" hidden="1" thickBot="1">
      <c r="A15" s="56" t="s">
        <v>0</v>
      </c>
      <c r="B15" s="57" t="s">
        <v>375</v>
      </c>
      <c r="C15" s="57" t="s">
        <v>375</v>
      </c>
      <c r="D15" s="57" t="s">
        <v>375</v>
      </c>
      <c r="E15" s="57" t="s">
        <v>375</v>
      </c>
      <c r="F15" s="57" t="s">
        <v>375</v>
      </c>
      <c r="G15" s="57" t="s">
        <v>375</v>
      </c>
      <c r="H15" s="57" t="s">
        <v>375</v>
      </c>
    </row>
    <row r="16" spans="1:29" ht="12.75" hidden="1" thickTop="1">
      <c r="A16" s="3" t="s">
        <v>9</v>
      </c>
      <c r="B16" s="4"/>
      <c r="C16" s="4"/>
      <c r="D16" s="4"/>
      <c r="E16" s="4"/>
      <c r="F16" s="4"/>
      <c r="G16" s="4"/>
      <c r="H16" s="4"/>
    </row>
    <row r="17" spans="1:8" hidden="1">
      <c r="A17" s="3" t="s">
        <v>10</v>
      </c>
      <c r="B17" s="4"/>
      <c r="C17" s="4"/>
      <c r="D17" s="4"/>
      <c r="E17" s="4"/>
      <c r="F17" s="4"/>
      <c r="G17" s="4"/>
      <c r="H17" s="4"/>
    </row>
    <row r="18" spans="1:8" hidden="1">
      <c r="A18" s="3" t="s">
        <v>11</v>
      </c>
      <c r="B18" s="4"/>
      <c r="C18" s="4"/>
      <c r="D18" s="4"/>
      <c r="E18" s="4"/>
      <c r="F18" s="4"/>
      <c r="G18" s="4"/>
      <c r="H18" s="4"/>
    </row>
    <row r="19" spans="1:8" hidden="1">
      <c r="A19" s="3" t="s">
        <v>45</v>
      </c>
      <c r="B19" s="4"/>
      <c r="C19" s="4"/>
      <c r="D19" s="4"/>
      <c r="E19" s="4"/>
      <c r="F19" s="4"/>
      <c r="G19" s="4"/>
      <c r="H19" s="4"/>
    </row>
    <row r="20" spans="1:8" hidden="1">
      <c r="A20" s="3" t="s">
        <v>43</v>
      </c>
      <c r="B20" s="4"/>
      <c r="C20" s="4"/>
      <c r="D20" s="4"/>
      <c r="E20" s="4"/>
      <c r="F20" s="4"/>
      <c r="G20" s="4"/>
      <c r="H20" s="4"/>
    </row>
    <row r="21" spans="1:8" hidden="1">
      <c r="A21" s="3" t="s">
        <v>44</v>
      </c>
      <c r="B21" s="4"/>
      <c r="C21" s="4"/>
      <c r="D21" s="4"/>
      <c r="E21" s="4"/>
      <c r="F21" s="4"/>
      <c r="G21" s="4"/>
      <c r="H21" s="4"/>
    </row>
    <row r="22" spans="1:8" hidden="1">
      <c r="A22" s="3" t="s">
        <v>92</v>
      </c>
      <c r="B22" s="4"/>
      <c r="C22" s="4"/>
      <c r="D22" s="4"/>
      <c r="E22" s="4"/>
      <c r="F22" s="4"/>
      <c r="G22" s="4"/>
      <c r="H22" s="4"/>
    </row>
    <row r="23" spans="1:8" ht="12.75" hidden="1" thickBot="1">
      <c r="A23" s="19"/>
      <c r="B23" s="8">
        <f t="shared" ref="B23:H23" si="23">SUM(B16:B22)</f>
        <v>0</v>
      </c>
      <c r="C23" s="8">
        <f t="shared" si="23"/>
        <v>0</v>
      </c>
      <c r="D23" s="8">
        <f t="shared" si="23"/>
        <v>0</v>
      </c>
      <c r="E23" s="8">
        <f t="shared" si="23"/>
        <v>0</v>
      </c>
      <c r="F23" s="8">
        <f t="shared" si="23"/>
        <v>0</v>
      </c>
      <c r="G23" s="8">
        <f t="shared" si="23"/>
        <v>0</v>
      </c>
      <c r="H23" s="8">
        <f t="shared" si="23"/>
        <v>0</v>
      </c>
    </row>
  </sheetData>
  <mergeCells count="7">
    <mergeCell ref="V1:Y1"/>
    <mergeCell ref="Z1:AC1"/>
    <mergeCell ref="R1:U1"/>
    <mergeCell ref="B1:E1"/>
    <mergeCell ref="F1:I1"/>
    <mergeCell ref="J1:M1"/>
    <mergeCell ref="N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4"/>
  <sheetViews>
    <sheetView workbookViewId="0">
      <selection activeCell="I27" sqref="I27"/>
    </sheetView>
  </sheetViews>
  <sheetFormatPr baseColWidth="10" defaultRowHeight="12"/>
  <cols>
    <col min="1" max="1" width="11.42578125" style="256"/>
    <col min="2" max="2" width="14.85546875" style="3" bestFit="1" customWidth="1"/>
    <col min="3" max="3" width="18.42578125" style="3" bestFit="1" customWidth="1"/>
    <col min="4" max="4" width="22.85546875" style="3" bestFit="1" customWidth="1"/>
    <col min="5" max="5" width="11.28515625" style="3" bestFit="1" customWidth="1"/>
    <col min="6" max="6" width="10.85546875" style="3" bestFit="1" customWidth="1"/>
    <col min="7" max="7" width="11.5703125" style="264" bestFit="1" customWidth="1"/>
    <col min="8" max="8" width="1.5703125" style="3" customWidth="1"/>
    <col min="9" max="16384" width="11.42578125" style="3"/>
  </cols>
  <sheetData>
    <row r="1" spans="1:9">
      <c r="A1" s="256">
        <v>2016</v>
      </c>
    </row>
    <row r="3" spans="1:9">
      <c r="A3" s="257" t="s">
        <v>127</v>
      </c>
      <c r="B3" s="28" t="s">
        <v>392</v>
      </c>
      <c r="C3" s="28" t="s">
        <v>123</v>
      </c>
      <c r="D3" s="28" t="s">
        <v>124</v>
      </c>
      <c r="E3" s="28" t="s">
        <v>481</v>
      </c>
      <c r="F3" s="28" t="s">
        <v>125</v>
      </c>
      <c r="G3" s="265" t="s">
        <v>126</v>
      </c>
    </row>
    <row r="4" spans="1:9">
      <c r="A4" s="256" t="s">
        <v>5</v>
      </c>
      <c r="B4" s="4">
        <f>+'Chiffre d''affaire'!I3</f>
        <v>336960</v>
      </c>
      <c r="C4" s="4">
        <f>+(('Ach prévisionnel'!D3-'Ach prévisionnel'!F3)+('Ach prévisionnel'!D17+'Ach prévisionnel'!D30))</f>
        <v>181991.44381935481</v>
      </c>
      <c r="D4" s="4">
        <f t="shared" ref="D4:D10" si="0">+(B4/0.9)*0.025</f>
        <v>9360</v>
      </c>
      <c r="E4" s="4">
        <f>-'Cout de production prévisionnel'!E3</f>
        <v>-7111.6694740436496</v>
      </c>
      <c r="F4" s="4">
        <f>+(B4-(C4+D4+E4))</f>
        <v>152720.22565468884</v>
      </c>
      <c r="G4" s="266">
        <f t="shared" ref="G4:G10" si="1">+F4/B4</f>
        <v>0.45322953957350676</v>
      </c>
    </row>
    <row r="5" spans="1:9">
      <c r="A5" s="258" t="s">
        <v>6</v>
      </c>
      <c r="B5" s="117">
        <f>+'Chiffre d''affaire'!I4</f>
        <v>471744</v>
      </c>
      <c r="C5" s="4">
        <f>+(('Ach prévisionnel'!D4-'Ach prévisionnel'!F4)+'Ach prévisionnel'!D18+'Ach prévisionnel'!D31)</f>
        <v>271770.14833548386</v>
      </c>
      <c r="D5" s="4">
        <f t="shared" si="0"/>
        <v>13104</v>
      </c>
      <c r="E5" s="4">
        <f>-'Cout de production prévisionnel'!E4</f>
        <v>-10038.02818372107</v>
      </c>
      <c r="F5" s="4">
        <f t="shared" ref="F5:F9" si="2">+(B5-(C5+D5+E5))</f>
        <v>196907.87984823721</v>
      </c>
      <c r="G5" s="267">
        <f t="shared" si="1"/>
        <v>0.41740410020739471</v>
      </c>
    </row>
    <row r="6" spans="1:9">
      <c r="A6" s="256" t="s">
        <v>7</v>
      </c>
      <c r="B6" s="4">
        <f>+'Chiffre d''affaire'!I5</f>
        <v>404352</v>
      </c>
      <c r="C6" s="4">
        <f>+('Ach prévisionnel'!D5-'Ach prévisionnel'!F5)+'Ach prévisionnel'!D19+'Ach prévisionnel'!D32</f>
        <v>221025.6631741935</v>
      </c>
      <c r="D6" s="4">
        <f t="shared" si="0"/>
        <v>11232</v>
      </c>
      <c r="E6" s="4">
        <f>-'Cout de production prévisionnel'!E5</f>
        <v>-8391.8759256565536</v>
      </c>
      <c r="F6" s="4">
        <f t="shared" si="2"/>
        <v>180486.21275146306</v>
      </c>
      <c r="G6" s="266">
        <f t="shared" si="1"/>
        <v>0.44635914438771923</v>
      </c>
    </row>
    <row r="7" spans="1:9">
      <c r="A7" s="256" t="s">
        <v>45</v>
      </c>
      <c r="B7" s="4">
        <f>+'Chiffre d''affaire'!I6</f>
        <v>132300</v>
      </c>
      <c r="C7" s="4">
        <f>+('Ach prévisionnel'!D6-'Ach prévisionnel'!F6)+'Ach prévisionnel'!D20+'Ach prévisionnel'!D33</f>
        <v>113247.08748387097</v>
      </c>
      <c r="D7" s="4">
        <f t="shared" si="0"/>
        <v>3675</v>
      </c>
      <c r="E7" s="4">
        <f>-'Cout de production prévisionnel'!E6</f>
        <v>-3783.44149910436</v>
      </c>
      <c r="F7" s="4">
        <f t="shared" si="2"/>
        <v>19161.354015233388</v>
      </c>
      <c r="G7" s="266">
        <f t="shared" si="1"/>
        <v>0.14483260782489332</v>
      </c>
    </row>
    <row r="8" spans="1:9">
      <c r="A8" s="256" t="s">
        <v>43</v>
      </c>
      <c r="B8" s="4">
        <f>+'Chiffre d''affaire'!I7</f>
        <v>132300</v>
      </c>
      <c r="C8" s="4">
        <f>+('Ach prévisionnel'!D7-'Ach prévisionnel'!F7)+'Ach prévisionnel'!D21+'Ach prévisionnel'!D34</f>
        <v>113247.08748387097</v>
      </c>
      <c r="D8" s="4">
        <f t="shared" si="0"/>
        <v>3675</v>
      </c>
      <c r="E8" s="4">
        <f>-'Cout de production prévisionnel'!E7</f>
        <v>-3783.44149910436</v>
      </c>
      <c r="F8" s="4">
        <f t="shared" si="2"/>
        <v>19161.354015233388</v>
      </c>
      <c r="G8" s="266">
        <f t="shared" si="1"/>
        <v>0.14483260782489332</v>
      </c>
    </row>
    <row r="9" spans="1:9">
      <c r="A9" s="256" t="s">
        <v>44</v>
      </c>
      <c r="B9" s="4">
        <f>+'Chiffre d''affaire'!I8</f>
        <v>132300</v>
      </c>
      <c r="C9" s="4">
        <f>+('Ach prévisionnel'!D8-'Ach prévisionnel'!F8)+'Ach prévisionnel'!D22+'Ach prévisionnel'!D35</f>
        <v>104489.41006451612</v>
      </c>
      <c r="D9" s="4">
        <f t="shared" si="0"/>
        <v>3675</v>
      </c>
      <c r="E9" s="4">
        <f>-'Cout de production prévisionnel'!E8</f>
        <v>-3509.7640797495214</v>
      </c>
      <c r="F9" s="4">
        <f t="shared" si="2"/>
        <v>27645.354015233403</v>
      </c>
      <c r="G9" s="266">
        <f t="shared" si="1"/>
        <v>0.20895959195187758</v>
      </c>
    </row>
    <row r="10" spans="1:9">
      <c r="A10" s="256" t="s">
        <v>92</v>
      </c>
      <c r="B10" s="4">
        <f>+'Chiffre d''affaire'!I9</f>
        <v>132300</v>
      </c>
      <c r="C10" s="4">
        <f>+('Ach prévisionnel'!D9-'Ach prévisionnel'!F9)+'Ach prévisionnel'!D23+'Ach prévisionnel'!D36</f>
        <v>117625.9261935484</v>
      </c>
      <c r="D10" s="4">
        <f t="shared" si="0"/>
        <v>3675</v>
      </c>
      <c r="E10" s="4">
        <f>-'Cout de production prévisionnel'!E9</f>
        <v>-3920.2802087817799</v>
      </c>
      <c r="F10" s="4">
        <f t="shared" ref="F10" si="3">+(B10-(C10+D10+E10))</f>
        <v>14919.354015233388</v>
      </c>
      <c r="G10" s="266">
        <f t="shared" si="1"/>
        <v>0.11276911576140126</v>
      </c>
    </row>
    <row r="12" spans="1:9" ht="12.75" thickBot="1">
      <c r="A12" s="259"/>
      <c r="B12" s="118">
        <f>SUM(B4:B11)</f>
        <v>1742256</v>
      </c>
      <c r="C12" s="118">
        <f>SUM(C4:C11)</f>
        <v>1123396.7665548387</v>
      </c>
      <c r="D12" s="118">
        <f>SUM(D4:D11)</f>
        <v>48396</v>
      </c>
      <c r="E12" s="118">
        <f>SUM(E4:E11)</f>
        <v>-40538.500870161297</v>
      </c>
      <c r="F12" s="118">
        <f>SUM(F4:F11)</f>
        <v>611001.7343153226</v>
      </c>
      <c r="G12" s="266">
        <f>+F12/B12</f>
        <v>0.350695726870978</v>
      </c>
      <c r="I12" s="4">
        <f>SUM(C12:E12)</f>
        <v>1131254.2656846775</v>
      </c>
    </row>
    <row r="13" spans="1:9">
      <c r="C13" s="75"/>
    </row>
    <row r="14" spans="1:9">
      <c r="A14" s="256">
        <v>2017</v>
      </c>
    </row>
    <row r="15" spans="1:9">
      <c r="A15" s="257" t="s">
        <v>127</v>
      </c>
      <c r="B15" s="28" t="s">
        <v>122</v>
      </c>
      <c r="C15" s="28" t="s">
        <v>123</v>
      </c>
      <c r="D15" s="28" t="s">
        <v>124</v>
      </c>
      <c r="E15" s="28" t="s">
        <v>481</v>
      </c>
      <c r="F15" s="28" t="s">
        <v>125</v>
      </c>
      <c r="G15" s="265" t="s">
        <v>126</v>
      </c>
    </row>
    <row r="16" spans="1:9">
      <c r="A16" s="256" t="s">
        <v>5</v>
      </c>
      <c r="B16" s="4">
        <f>+'Chiffre d''affaire'!L3</f>
        <v>387503.99999999994</v>
      </c>
      <c r="C16" s="4">
        <f>('Ach prévisionnel'!I3+'Ach prévisionnel'!F3-'Ach prévisionnel'!K3)+'Ach prévisionnel'!I17+'Ach prévisionnel'!I30</f>
        <v>203602.92777290323</v>
      </c>
      <c r="D16" s="4">
        <f t="shared" ref="D16:D22" si="4">+(B16/0.9)*0.025</f>
        <v>10764</v>
      </c>
      <c r="E16" s="4">
        <f>+'Cout de production prévisionnel'!E3-'Cout de production prévisionnel'!I3</f>
        <v>-1066.7504211065461</v>
      </c>
      <c r="F16" s="4">
        <f t="shared" ref="F16:F22" si="5">+(B16-(C16+D16+E16))</f>
        <v>174203.82264820326</v>
      </c>
      <c r="G16" s="266">
        <f t="shared" ref="G16:G22" si="6">+F16/B16</f>
        <v>0.44955361144195488</v>
      </c>
    </row>
    <row r="17" spans="1:9">
      <c r="A17" s="258" t="s">
        <v>6</v>
      </c>
      <c r="B17" s="4">
        <f>+'Chiffre d''affaire'!L4</f>
        <v>542505.59999999986</v>
      </c>
      <c r="C17" s="4">
        <f>('Ach prévisionnel'!I4+'Ach prévisionnel'!F4-'Ach prévisionnel'!K4)+'Ach prévisionnel'!I18+'Ach prévisionnel'!I31</f>
        <v>304042.85345032258</v>
      </c>
      <c r="D17" s="4">
        <f t="shared" si="4"/>
        <v>15069.599999999999</v>
      </c>
      <c r="E17" s="4">
        <f>+'Cout de production prévisionnel'!E4-'Cout de production prévisionnel'!I4</f>
        <v>-1505.7042275581589</v>
      </c>
      <c r="F17" s="4">
        <f t="shared" si="5"/>
        <v>224898.85077723546</v>
      </c>
      <c r="G17" s="267">
        <f t="shared" si="6"/>
        <v>0.41455581431276567</v>
      </c>
    </row>
    <row r="18" spans="1:9">
      <c r="A18" s="256" t="s">
        <v>7</v>
      </c>
      <c r="B18" s="4">
        <f>+'Chiffre d''affaire'!L5</f>
        <v>465004.79999999993</v>
      </c>
      <c r="C18" s="4">
        <f>('Ach prévisionnel'!I5+'Ach prévisionnel'!F5-'Ach prévisionnel'!K5)+'Ach prévisionnel'!I19+'Ach prévisionnel'!I32</f>
        <v>247272.46067612906</v>
      </c>
      <c r="D18" s="4">
        <f t="shared" si="4"/>
        <v>12916.799999999997</v>
      </c>
      <c r="E18" s="4">
        <f>+'Cout de production prévisionnel'!E5-'Cout de production prévisionnel'!I5</f>
        <v>-1258.7813888484834</v>
      </c>
      <c r="F18" s="4">
        <f t="shared" si="5"/>
        <v>206074.32071271937</v>
      </c>
      <c r="G18" s="266">
        <f t="shared" si="6"/>
        <v>0.44316600756103897</v>
      </c>
    </row>
    <row r="19" spans="1:9">
      <c r="A19" s="256" t="s">
        <v>45</v>
      </c>
      <c r="B19" s="4">
        <f>+'Chiffre d''affaire'!L6</f>
        <v>152144.99999999997</v>
      </c>
      <c r="C19" s="4">
        <f>('Ach prévisionnel'!I6+'Ach prévisionnel'!F6-'Ach prévisionnel'!K6)+'Ach prévisionnel'!I20+'Ach prévisionnel'!I33</f>
        <v>126695.17912258062</v>
      </c>
      <c r="D19" s="4">
        <f t="shared" si="4"/>
        <v>4226.2499999999991</v>
      </c>
      <c r="E19" s="4">
        <f>+'Cout de production prévisionnel'!E6-'Cout de production prévisionnel'!I6</f>
        <v>-567.51622486565384</v>
      </c>
      <c r="F19" s="4">
        <f t="shared" si="5"/>
        <v>21791.087102285004</v>
      </c>
      <c r="G19" s="266">
        <f t="shared" si="6"/>
        <v>0.14322578528564861</v>
      </c>
    </row>
    <row r="20" spans="1:9">
      <c r="A20" s="256" t="s">
        <v>43</v>
      </c>
      <c r="B20" s="4">
        <f>+'Chiffre d''affaire'!L7</f>
        <v>152144.99999999997</v>
      </c>
      <c r="C20" s="4">
        <f>('Ach prévisionnel'!I7+'Ach prévisionnel'!F7-'Ach prévisionnel'!K7)+'Ach prévisionnel'!I21+'Ach prévisionnel'!I34</f>
        <v>126695.17912258062</v>
      </c>
      <c r="D20" s="4">
        <f t="shared" si="4"/>
        <v>4226.2499999999991</v>
      </c>
      <c r="E20" s="4">
        <f>+'Cout de production prévisionnel'!E7-'Cout de production prévisionnel'!I7</f>
        <v>-567.51622486565384</v>
      </c>
      <c r="F20" s="4">
        <f t="shared" si="5"/>
        <v>21791.087102285004</v>
      </c>
      <c r="G20" s="266">
        <f t="shared" si="6"/>
        <v>0.14322578528564861</v>
      </c>
    </row>
    <row r="21" spans="1:9">
      <c r="A21" s="256" t="s">
        <v>44</v>
      </c>
      <c r="B21" s="4">
        <f>+'Chiffre d''affaire'!L8</f>
        <v>152144.99999999997</v>
      </c>
      <c r="C21" s="4">
        <f>('Ach prévisionnel'!I8+'Ach prévisionnel'!F8-'Ach prévisionnel'!K8)+'Ach prévisionnel'!I22+'Ach prévisionnel'!I35</f>
        <v>116897.52750967741</v>
      </c>
      <c r="D21" s="4">
        <f t="shared" si="4"/>
        <v>4226.2499999999991</v>
      </c>
      <c r="E21" s="4">
        <f>+'Cout de production prévisionnel'!E8-'Cout de production prévisionnel'!I8</f>
        <v>-526.46461196242808</v>
      </c>
      <c r="F21" s="4">
        <f t="shared" si="5"/>
        <v>31547.687102284981</v>
      </c>
      <c r="G21" s="266">
        <f t="shared" si="6"/>
        <v>0.20735276941263259</v>
      </c>
    </row>
    <row r="22" spans="1:9">
      <c r="A22" s="256" t="s">
        <v>92</v>
      </c>
      <c r="B22" s="4">
        <f>+'Chiffre d''affaire'!L9</f>
        <v>152144.99999999997</v>
      </c>
      <c r="C22" s="4">
        <f>('Ach prévisionnel'!I9+'Ach prévisionnel'!F9-'Ach prévisionnel'!K9)+'Ach prévisionnel'!I23+'Ach prévisionnel'!I36</f>
        <v>131594.00492903226</v>
      </c>
      <c r="D22" s="4">
        <f t="shared" si="4"/>
        <v>4226.2499999999991</v>
      </c>
      <c r="E22" s="4">
        <f>+'Cout de production prévisionnel'!E9-'Cout de production prévisionnel'!I9</f>
        <v>-588.04203131726626</v>
      </c>
      <c r="F22" s="4">
        <f t="shared" si="5"/>
        <v>16912.787102284987</v>
      </c>
      <c r="G22" s="266">
        <f t="shared" si="6"/>
        <v>0.11116229322215643</v>
      </c>
    </row>
    <row r="24" spans="1:9" ht="12.75" thickBot="1">
      <c r="A24" s="259"/>
      <c r="B24" s="118">
        <f>SUM(B16:B23)</f>
        <v>2003594.4</v>
      </c>
      <c r="C24" s="118">
        <f>SUM(C16:C23)</f>
        <v>1256800.1325832258</v>
      </c>
      <c r="D24" s="118">
        <f t="shared" ref="D24:F24" si="7">SUM(D16:D23)</f>
        <v>55655.399999999994</v>
      </c>
      <c r="E24" s="118">
        <f t="shared" si="7"/>
        <v>-6080.7751305241918</v>
      </c>
      <c r="F24" s="118">
        <f t="shared" si="7"/>
        <v>697219.64254729799</v>
      </c>
      <c r="G24" s="266">
        <f>+F24/B24</f>
        <v>0.34798442366743387</v>
      </c>
      <c r="I24" s="4">
        <f>SUM(C24:E24)</f>
        <v>1306374.7574527015</v>
      </c>
    </row>
    <row r="25" spans="1:9">
      <c r="A25" s="256">
        <v>2018</v>
      </c>
      <c r="C25" s="75"/>
    </row>
    <row r="26" spans="1:9">
      <c r="A26" s="257" t="s">
        <v>127</v>
      </c>
      <c r="B26" s="28" t="s">
        <v>122</v>
      </c>
      <c r="C26" s="28" t="s">
        <v>123</v>
      </c>
      <c r="D26" s="28" t="s">
        <v>124</v>
      </c>
      <c r="E26" s="28" t="s">
        <v>481</v>
      </c>
      <c r="F26" s="28" t="s">
        <v>125</v>
      </c>
      <c r="G26" s="265" t="s">
        <v>126</v>
      </c>
    </row>
    <row r="27" spans="1:9">
      <c r="A27" s="256" t="s">
        <v>5</v>
      </c>
      <c r="B27" s="4">
        <f>+'Chiffre d''affaire'!N3</f>
        <v>445629.59999999992</v>
      </c>
      <c r="C27" s="4">
        <f>+('Ach prévisionnel'!N3+'Ach prévisionnel'!K3-'Ach prévisionnel'!P3)+'Ach prévisionnel'!N17+'Ach prévisionnel'!N30</f>
        <v>234143.36693883868</v>
      </c>
      <c r="D27" s="4">
        <f t="shared" ref="D27:D33" si="8">+(B27/0.9)*0.025</f>
        <v>12378.599999999999</v>
      </c>
      <c r="E27" s="4">
        <f>'Cout de production prévisionnel'!I3-'Cout de production prévisionnel'!M3</f>
        <v>-1226.76298427253</v>
      </c>
      <c r="F27" s="4">
        <f>+(B27-(C27+D27+E27))</f>
        <v>200334.39604543376</v>
      </c>
      <c r="G27" s="266">
        <f t="shared" ref="G27:G33" si="9">+F27/B27</f>
        <v>0.44955361144195494</v>
      </c>
    </row>
    <row r="28" spans="1:9">
      <c r="A28" s="258" t="s">
        <v>6</v>
      </c>
      <c r="B28" s="4">
        <f>+'Chiffre d''affaire'!N4</f>
        <v>623881.43999999983</v>
      </c>
      <c r="C28" s="4">
        <f>+('Ach prévisionnel'!N4+'Ach prévisionnel'!K4-'Ach prévisionnel'!P4)+'Ach prévisionnel'!N18+'Ach prévisionnel'!N31</f>
        <v>349649.28146787087</v>
      </c>
      <c r="D28" s="4">
        <f t="shared" si="8"/>
        <v>17330.039999999994</v>
      </c>
      <c r="E28" s="4">
        <f>'Cout de production prévisionnel'!I4-'Cout de production prévisionnel'!M4</f>
        <v>-1731.5598616918851</v>
      </c>
      <c r="F28" s="4">
        <f t="shared" ref="F28:F33" si="10">+(B28-(C28+D28+E28))</f>
        <v>258633.67839382088</v>
      </c>
      <c r="G28" s="267">
        <f t="shared" si="9"/>
        <v>0.41455581431276584</v>
      </c>
    </row>
    <row r="29" spans="1:9">
      <c r="A29" s="256" t="s">
        <v>7</v>
      </c>
      <c r="B29" s="4">
        <f>+'Chiffre d''affaire'!N5</f>
        <v>534755.5199999999</v>
      </c>
      <c r="C29" s="4">
        <f>+('Ach prévisionnel'!N5+'Ach prévisionnel'!K5-'Ach prévisionnel'!P5)+'Ach prévisionnel'!N19+'Ach prévisionnel'!N32</f>
        <v>284363.32977754832</v>
      </c>
      <c r="D29" s="4">
        <f t="shared" si="8"/>
        <v>14854.32</v>
      </c>
      <c r="E29" s="4">
        <f>'Cout de production prévisionnel'!I5-'Cout de production prévisionnel'!M5</f>
        <v>-1447.5985971757564</v>
      </c>
      <c r="F29" s="4">
        <f t="shared" si="10"/>
        <v>236985.46881962731</v>
      </c>
      <c r="G29" s="266">
        <f t="shared" si="9"/>
        <v>0.44316600756103902</v>
      </c>
    </row>
    <row r="30" spans="1:9">
      <c r="A30" s="256" t="s">
        <v>45</v>
      </c>
      <c r="B30" s="4">
        <f>+'Chiffre d''affaire'!N6</f>
        <v>174966.74999999994</v>
      </c>
      <c r="C30" s="4">
        <f>+('Ach prévisionnel'!N6+'Ach prévisionnel'!K6-'Ach prévisionnel'!P6)+'Ach prévisionnel'!N20+'Ach prévisionnel'!N33</f>
        <v>145699.45599096775</v>
      </c>
      <c r="D30" s="4">
        <f t="shared" si="8"/>
        <v>4860.1874999999991</v>
      </c>
      <c r="E30" s="4">
        <f>'Cout de production prévisionnel'!I6-'Cout de production prévisionnel'!M6</f>
        <v>-652.64365859550253</v>
      </c>
      <c r="F30" s="4">
        <f t="shared" si="10"/>
        <v>25059.750167627702</v>
      </c>
      <c r="G30" s="266">
        <f t="shared" si="9"/>
        <v>0.14322578528564833</v>
      </c>
    </row>
    <row r="31" spans="1:9">
      <c r="A31" s="256" t="s">
        <v>43</v>
      </c>
      <c r="B31" s="4">
        <f>+'Chiffre d''affaire'!N7</f>
        <v>174966.74999999994</v>
      </c>
      <c r="C31" s="4">
        <f>+('Ach prévisionnel'!N7+'Ach prévisionnel'!K7-'Ach prévisionnel'!P7)+'Ach prévisionnel'!N21+'Ach prévisionnel'!N34</f>
        <v>145699.45599096775</v>
      </c>
      <c r="D31" s="4">
        <f t="shared" si="8"/>
        <v>4860.1874999999991</v>
      </c>
      <c r="E31" s="4">
        <f>'Cout de production prévisionnel'!I7-'Cout de production prévisionnel'!M7</f>
        <v>-652.64365859550253</v>
      </c>
      <c r="F31" s="4">
        <f t="shared" si="10"/>
        <v>25059.750167627702</v>
      </c>
      <c r="G31" s="266">
        <f t="shared" si="9"/>
        <v>0.14322578528564833</v>
      </c>
    </row>
    <row r="32" spans="1:9">
      <c r="A32" s="256" t="s">
        <v>44</v>
      </c>
      <c r="B32" s="4">
        <f>+'Chiffre d''affaire'!N8</f>
        <v>174966.74999999994</v>
      </c>
      <c r="C32" s="4">
        <f>+('Ach prévisionnel'!N8+'Ach prévisionnel'!K8-'Ach prévisionnel'!P8)+'Ach prévisionnel'!N22+'Ach prévisionnel'!N35</f>
        <v>134432.15663612905</v>
      </c>
      <c r="D32" s="4">
        <f t="shared" si="8"/>
        <v>4860.1874999999991</v>
      </c>
      <c r="E32" s="4">
        <f>'Cout de production prévisionnel'!I8-'Cout de production prévisionnel'!M8</f>
        <v>-605.43430375679281</v>
      </c>
      <c r="F32" s="4">
        <f t="shared" si="10"/>
        <v>36279.840167627699</v>
      </c>
      <c r="G32" s="266">
        <f t="shared" si="9"/>
        <v>0.20735276941263248</v>
      </c>
    </row>
    <row r="33" spans="1:9">
      <c r="A33" s="256" t="s">
        <v>92</v>
      </c>
      <c r="B33" s="4">
        <f>+'Chiffre d''affaire'!N9</f>
        <v>174966.74999999994</v>
      </c>
      <c r="C33" s="4">
        <f>+('Ach prévisionnel'!N9+'Ach prévisionnel'!K9-'Ach prévisionnel'!P9)+'Ach prévisionnel'!N23+'Ach prévisionnel'!N36</f>
        <v>151333.10566838711</v>
      </c>
      <c r="D33" s="4">
        <f t="shared" si="8"/>
        <v>4860.1874999999991</v>
      </c>
      <c r="E33" s="4">
        <f>'Cout de production prévisionnel'!I9-'Cout de production prévisionnel'!M9</f>
        <v>-676.24833601485716</v>
      </c>
      <c r="F33" s="4">
        <f t="shared" si="10"/>
        <v>19449.70516762769</v>
      </c>
      <c r="G33" s="266">
        <f t="shared" si="9"/>
        <v>0.11116229322215619</v>
      </c>
    </row>
    <row r="35" spans="1:9" ht="12.75" thickBot="1">
      <c r="A35" s="259"/>
      <c r="B35" s="118">
        <f>SUM(B27:B34)</f>
        <v>2304133.5599999996</v>
      </c>
      <c r="C35" s="118">
        <f>SUM(C27:C34)</f>
        <v>1445320.1524707098</v>
      </c>
      <c r="D35" s="118">
        <f t="shared" ref="D35:F35" si="11">SUM(D27:D34)</f>
        <v>64003.709999999992</v>
      </c>
      <c r="E35" s="118">
        <f>SUM(E27:E34)</f>
        <v>-6992.891400102827</v>
      </c>
      <c r="F35" s="118">
        <f t="shared" si="11"/>
        <v>801802.58892939263</v>
      </c>
      <c r="G35" s="266">
        <f>+F35/B35</f>
        <v>0.34798442366743393</v>
      </c>
      <c r="I35" s="4">
        <f>SUM(C35:E35)</f>
        <v>1502330.971070607</v>
      </c>
    </row>
    <row r="36" spans="1:9">
      <c r="A36" s="256">
        <v>2019</v>
      </c>
    </row>
    <row r="37" spans="1:9">
      <c r="A37" s="257" t="s">
        <v>127</v>
      </c>
      <c r="B37" s="28" t="s">
        <v>122</v>
      </c>
      <c r="C37" s="28" t="s">
        <v>123</v>
      </c>
      <c r="D37" s="28" t="s">
        <v>124</v>
      </c>
      <c r="E37" s="28" t="s">
        <v>481</v>
      </c>
      <c r="F37" s="28" t="s">
        <v>125</v>
      </c>
      <c r="G37" s="265" t="s">
        <v>126</v>
      </c>
    </row>
    <row r="38" spans="1:9">
      <c r="A38" s="256" t="s">
        <v>5</v>
      </c>
      <c r="B38" s="4">
        <f>+'Chiffre d''affaire'!P3</f>
        <v>512474.03999999986</v>
      </c>
      <c r="C38" s="4">
        <f>+('Ach prévisionnel'!S3+'Ach prévisionnel'!P3-'Ach prévisionnel'!U3)+'Ach prévisionnel'!S17+'Ach prévisionnel'!S30</f>
        <v>269264.87197966449</v>
      </c>
      <c r="D38" s="4">
        <f t="shared" ref="D38:D44" si="12">+(B38/0.9)*0.025</f>
        <v>14235.389999999998</v>
      </c>
      <c r="E38" s="4">
        <f>+'Cout de production prévisionnel'!M3-'Cout de production prévisionnel'!Q3</f>
        <v>-1410.7774319134078</v>
      </c>
      <c r="F38" s="4">
        <f>+(B38-(C38+D38+E38))</f>
        <v>230384.55545224878</v>
      </c>
      <c r="G38" s="266">
        <f t="shared" ref="G38:G44" si="13">+F38/B38</f>
        <v>0.44955361144195488</v>
      </c>
    </row>
    <row r="39" spans="1:9">
      <c r="A39" s="258" t="s">
        <v>6</v>
      </c>
      <c r="B39" s="4">
        <f>+'Chiffre d''affaire'!P4</f>
        <v>717463.65599999973</v>
      </c>
      <c r="C39" s="4">
        <f>+('Ach prévisionnel'!S4+'Ach prévisionnel'!P4-'Ach prévisionnel'!U4)+'Ach prévisionnel'!S18+'Ach prévisionnel'!S31</f>
        <v>402096.67368805152</v>
      </c>
      <c r="D39" s="4">
        <f t="shared" si="12"/>
        <v>19929.545999999991</v>
      </c>
      <c r="E39" s="4">
        <f>+'Cout de production prévisionnel'!M4-'Cout de production prévisionnel'!Q4</f>
        <v>-1991.2938409456638</v>
      </c>
      <c r="F39" s="4">
        <f t="shared" ref="F39:F44" si="14">+(B39-(C39+D39+E39))</f>
        <v>297428.73015289387</v>
      </c>
      <c r="G39" s="267">
        <f t="shared" si="13"/>
        <v>0.41455581431276567</v>
      </c>
    </row>
    <row r="40" spans="1:9">
      <c r="A40" s="256" t="s">
        <v>7</v>
      </c>
      <c r="B40" s="4">
        <f>+'Chiffre d''affaire'!P5</f>
        <v>614968.84799999988</v>
      </c>
      <c r="C40" s="4">
        <f>+('Ach prévisionnel'!S5+'Ach prévisionnel'!P5-'Ach prévisionnel'!U5)+'Ach prévisionnel'!S19+'Ach prévisionnel'!S32</f>
        <v>327017.82924418058</v>
      </c>
      <c r="D40" s="4">
        <f t="shared" si="12"/>
        <v>17082.467999999997</v>
      </c>
      <c r="E40" s="4">
        <f>+'Cout de production prévisionnel'!M5-'Cout de production prévisionnel'!Q5</f>
        <v>-1664.7383867521166</v>
      </c>
      <c r="F40" s="4">
        <f t="shared" si="14"/>
        <v>272533.28914257145</v>
      </c>
      <c r="G40" s="266">
        <f t="shared" si="13"/>
        <v>0.44316600756103908</v>
      </c>
    </row>
    <row r="41" spans="1:9">
      <c r="A41" s="256" t="s">
        <v>45</v>
      </c>
      <c r="B41" s="4">
        <f>+'Chiffre d''affaire'!P6</f>
        <v>201211.76249999992</v>
      </c>
      <c r="C41" s="4">
        <f>+('Ach prévisionnel'!S6+'Ach prévisionnel'!P6-'Ach prévisionnel'!U6)+'Ach prévisionnel'!S20+'Ach prévisionnel'!S33</f>
        <v>167554.3743896129</v>
      </c>
      <c r="D41" s="4">
        <f t="shared" si="12"/>
        <v>5589.215624999998</v>
      </c>
      <c r="E41" s="4">
        <f>+'Cout de production prévisionnel'!M6-'Cout de production prévisionnel'!Q6</f>
        <v>-750.54020738482541</v>
      </c>
      <c r="F41" s="4">
        <f t="shared" si="14"/>
        <v>28818.712692771835</v>
      </c>
      <c r="G41" s="266">
        <f t="shared" si="13"/>
        <v>0.14322578528564822</v>
      </c>
    </row>
    <row r="42" spans="1:9">
      <c r="A42" s="256" t="s">
        <v>43</v>
      </c>
      <c r="B42" s="4">
        <f>+'Chiffre d''affaire'!P7</f>
        <v>201211.76249999992</v>
      </c>
      <c r="C42" s="4">
        <f>+('Ach prévisionnel'!S7+'Ach prévisionnel'!P7-'Ach prévisionnel'!U7)+'Ach prévisionnel'!S21+'Ach prévisionnel'!S34</f>
        <v>167554.3743896129</v>
      </c>
      <c r="D42" s="4">
        <f t="shared" si="12"/>
        <v>5589.215624999998</v>
      </c>
      <c r="E42" s="4">
        <f>+'Cout de production prévisionnel'!M7-'Cout de production prévisionnel'!Q7</f>
        <v>-750.54020738482541</v>
      </c>
      <c r="F42" s="4">
        <f t="shared" si="14"/>
        <v>28818.712692771835</v>
      </c>
      <c r="G42" s="266">
        <f t="shared" si="13"/>
        <v>0.14322578528564822</v>
      </c>
    </row>
    <row r="43" spans="1:9">
      <c r="A43" s="256" t="s">
        <v>44</v>
      </c>
      <c r="B43" s="4">
        <f>+'Chiffre d''affaire'!P8</f>
        <v>201211.76249999992</v>
      </c>
      <c r="C43" s="4">
        <f>+('Ach prévisionnel'!S8+'Ach prévisionnel'!P8-'Ach prévisionnel'!U8)+'Ach prévisionnel'!S22+'Ach prévisionnel'!S35</f>
        <v>154596.98013154836</v>
      </c>
      <c r="D43" s="4">
        <f t="shared" si="12"/>
        <v>5589.215624999998</v>
      </c>
      <c r="E43" s="4">
        <f>+'Cout de production prévisionnel'!M8-'Cout de production prévisionnel'!Q8</f>
        <v>-696.2494493203094</v>
      </c>
      <c r="F43" s="4">
        <f t="shared" si="14"/>
        <v>41721.816192771861</v>
      </c>
      <c r="G43" s="266">
        <f t="shared" si="13"/>
        <v>0.2073527694126325</v>
      </c>
    </row>
    <row r="44" spans="1:9">
      <c r="A44" s="256" t="s">
        <v>92</v>
      </c>
      <c r="B44" s="4">
        <f>+'Chiffre d''affaire'!P9</f>
        <v>201211.76249999992</v>
      </c>
      <c r="C44" s="4">
        <f>+('Ach prévisionnel'!S9+'Ach prévisionnel'!P9-'Ach prévisionnel'!U9)+'Ach prévisionnel'!S23+'Ach prévisionnel'!S36</f>
        <v>174033.07151864513</v>
      </c>
      <c r="D44" s="4">
        <f t="shared" si="12"/>
        <v>5589.215624999998</v>
      </c>
      <c r="E44" s="4">
        <f>+'Cout de production prévisionnel'!M9-'Cout de production prévisionnel'!Q9</f>
        <v>-777.68558641708387</v>
      </c>
      <c r="F44" s="4">
        <f t="shared" si="14"/>
        <v>22367.160942771879</v>
      </c>
      <c r="G44" s="266">
        <f t="shared" si="13"/>
        <v>0.11116229322215637</v>
      </c>
    </row>
    <row r="46" spans="1:9" ht="12.75" thickBot="1">
      <c r="A46" s="259"/>
      <c r="B46" s="118">
        <f>SUM(B38:B45)</f>
        <v>2649753.5939999986</v>
      </c>
      <c r="C46" s="118">
        <f t="shared" ref="C46:F46" si="15">SUM(C38:C45)</f>
        <v>1662118.1753413158</v>
      </c>
      <c r="D46" s="118">
        <f t="shared" si="15"/>
        <v>73604.266499999969</v>
      </c>
      <c r="E46" s="118">
        <f>SUM(E38:E45)</f>
        <v>-8041.8251101182323</v>
      </c>
      <c r="F46" s="118">
        <f t="shared" si="15"/>
        <v>922072.9772688013</v>
      </c>
      <c r="G46" s="266">
        <f>+F46/B46</f>
        <v>0.34798442366743393</v>
      </c>
      <c r="I46" s="4">
        <f>SUM(C46:E46)</f>
        <v>1727680.6167311976</v>
      </c>
    </row>
    <row r="48" spans="1:9">
      <c r="A48" s="256">
        <v>2020</v>
      </c>
    </row>
    <row r="49" spans="1:9">
      <c r="A49" s="257" t="s">
        <v>127</v>
      </c>
      <c r="B49" s="28" t="s">
        <v>122</v>
      </c>
      <c r="C49" s="28" t="s">
        <v>123</v>
      </c>
      <c r="D49" s="28" t="s">
        <v>124</v>
      </c>
      <c r="E49" s="28" t="s">
        <v>481</v>
      </c>
      <c r="F49" s="28" t="s">
        <v>125</v>
      </c>
      <c r="G49" s="265" t="s">
        <v>126</v>
      </c>
    </row>
    <row r="50" spans="1:9">
      <c r="A50" s="256" t="s">
        <v>5</v>
      </c>
      <c r="B50" s="4">
        <f>+'Chiffre d''affaire'!R3</f>
        <v>589345.14599999983</v>
      </c>
      <c r="C50" s="4">
        <f>+('Ach prévisionnel'!X3+'Ach prévisionnel'!U3-'Ach prévisionnel'!Z3)+'Ach prévisionnel'!X17+'Ach prévisionnel'!X30</f>
        <v>309654.60277661413</v>
      </c>
      <c r="D50" s="4">
        <f t="shared" ref="D50:D56" si="16">+(B50/0.9)*0.025</f>
        <v>16370.698499999997</v>
      </c>
      <c r="E50" s="4">
        <f>+'Cout de production prévisionnel'!Q3-'Cout de production prévisionnel'!U3</f>
        <v>-1622.3940467004177</v>
      </c>
      <c r="F50" s="4">
        <f t="shared" ref="F50:F56" si="17">+(B50-(C50+D50+E50))</f>
        <v>264942.23877008614</v>
      </c>
      <c r="G50" s="266">
        <f t="shared" ref="G50:G56" si="18">+F50/B50</f>
        <v>0.44955361144195494</v>
      </c>
    </row>
    <row r="51" spans="1:9">
      <c r="A51" s="258" t="s">
        <v>6</v>
      </c>
      <c r="B51" s="4">
        <f>+'Chiffre d''affaire'!R4</f>
        <v>825083.2043999997</v>
      </c>
      <c r="C51" s="4">
        <f>+('Ach prévisionnel'!X4+'Ach prévisionnel'!U4-'Ach prévisionnel'!Z4)+'Ach prévisionnel'!X18+'Ach prévisionnel'!X31</f>
        <v>462411.17474125919</v>
      </c>
      <c r="D51" s="4">
        <f t="shared" si="16"/>
        <v>22918.977899999994</v>
      </c>
      <c r="E51" s="4">
        <f>+'Cout de production prévisionnel'!Q4-'Cout de production prévisionnel'!U4</f>
        <v>-2289.9879170875156</v>
      </c>
      <c r="F51" s="4">
        <f t="shared" si="17"/>
        <v>342043.03967582801</v>
      </c>
      <c r="G51" s="267">
        <f t="shared" si="18"/>
        <v>0.41455581431276572</v>
      </c>
    </row>
    <row r="52" spans="1:9">
      <c r="A52" s="256" t="s">
        <v>7</v>
      </c>
      <c r="B52" s="4">
        <f>+'Chiffre d''affaire'!R5</f>
        <v>707214.17519999982</v>
      </c>
      <c r="C52" s="4">
        <f>+('Ach prévisionnel'!X5+'Ach prévisionnel'!U5-'Ach prévisionnel'!Z5)+'Ach prévisionnel'!X19+'Ach prévisionnel'!X32</f>
        <v>376070.50363080762</v>
      </c>
      <c r="D52" s="4">
        <f t="shared" si="16"/>
        <v>19644.838199999998</v>
      </c>
      <c r="E52" s="4">
        <f>+'Cout de production prévisionnel'!Q5-'Cout de production prévisionnel'!U5</f>
        <v>-1914.4491447649343</v>
      </c>
      <c r="F52" s="4">
        <f t="shared" si="17"/>
        <v>313413.28251395712</v>
      </c>
      <c r="G52" s="266">
        <f t="shared" si="18"/>
        <v>0.44316600756103908</v>
      </c>
    </row>
    <row r="53" spans="1:9">
      <c r="A53" s="256" t="s">
        <v>45</v>
      </c>
      <c r="B53" s="4">
        <f>+'Chiffre d''affaire'!R6</f>
        <v>231393.52687499992</v>
      </c>
      <c r="C53" s="4">
        <f>+('Ach prévisionnel'!X6+'Ach prévisionnel'!U6-'Ach prévisionnel'!Z6)+'Ach prévisionnel'!X20+'Ach prévisionnel'!X33</f>
        <v>192687.53054805475</v>
      </c>
      <c r="D53" s="4">
        <f t="shared" si="16"/>
        <v>6427.5979687499976</v>
      </c>
      <c r="E53" s="4">
        <f>+'Cout de production prévisionnel'!Q6-'Cout de production prévisionnel'!U6</f>
        <v>-863.12123849255022</v>
      </c>
      <c r="F53" s="4">
        <f t="shared" si="17"/>
        <v>33141.519596687722</v>
      </c>
      <c r="G53" s="266">
        <f t="shared" si="18"/>
        <v>0.14322578528564869</v>
      </c>
    </row>
    <row r="54" spans="1:9">
      <c r="A54" s="256" t="s">
        <v>43</v>
      </c>
      <c r="B54" s="4">
        <f>+'Chiffre d''affaire'!R7</f>
        <v>231393.52687499992</v>
      </c>
      <c r="C54" s="4">
        <f>+('Ach prévisionnel'!X7+'Ach prévisionnel'!U7-'Ach prévisionnel'!Z7)+'Ach prévisionnel'!X21+'Ach prévisionnel'!X34</f>
        <v>192687.53054805475</v>
      </c>
      <c r="D54" s="4">
        <f t="shared" si="16"/>
        <v>6427.5979687499976</v>
      </c>
      <c r="E54" s="4">
        <f>+'Cout de production prévisionnel'!Q7-'Cout de production prévisionnel'!U7</f>
        <v>-863.12123849255022</v>
      </c>
      <c r="F54" s="4">
        <f t="shared" si="17"/>
        <v>33141.519596687722</v>
      </c>
      <c r="G54" s="266">
        <f t="shared" si="18"/>
        <v>0.14322578528564869</v>
      </c>
    </row>
    <row r="55" spans="1:9">
      <c r="A55" s="256" t="s">
        <v>44</v>
      </c>
      <c r="B55" s="4">
        <f>+'Chiffre d''affaire'!R8</f>
        <v>231393.52687499992</v>
      </c>
      <c r="C55" s="4">
        <f>+('Ach prévisionnel'!X8+'Ach prévisionnel'!U8-'Ach prévisionnel'!Z8)+'Ach prévisionnel'!X22+'Ach prévisionnel'!X35</f>
        <v>177786.52715128061</v>
      </c>
      <c r="D55" s="4">
        <f t="shared" si="16"/>
        <v>6427.5979687499976</v>
      </c>
      <c r="E55" s="4">
        <f>+'Cout de production prévisionnel'!Q8-'Cout de production prévisionnel'!U8</f>
        <v>-800.68686671835712</v>
      </c>
      <c r="F55" s="4">
        <f t="shared" si="17"/>
        <v>47980.088621687668</v>
      </c>
      <c r="G55" s="266">
        <f t="shared" si="18"/>
        <v>0.20735276941263261</v>
      </c>
    </row>
    <row r="56" spans="1:9">
      <c r="A56" s="256" t="s">
        <v>92</v>
      </c>
      <c r="B56" s="4">
        <f>+'Chiffre d''affaire'!R9</f>
        <v>231393.52687499992</v>
      </c>
      <c r="C56" s="4">
        <f>+('Ach prévisionnel'!X9+'Ach prévisionnel'!U9-'Ach prévisionnel'!Z9)+'Ach prévisionnel'!X23+'Ach prévisionnel'!X36</f>
        <v>200138.03224644187</v>
      </c>
      <c r="D56" s="4">
        <f t="shared" si="16"/>
        <v>6427.5979687499976</v>
      </c>
      <c r="E56" s="4">
        <f>+'Cout de production prévisionnel'!Q9-'Cout de production prévisionnel'!U9</f>
        <v>-894.33842437964722</v>
      </c>
      <c r="F56" s="4">
        <f t="shared" si="17"/>
        <v>25722.235084187705</v>
      </c>
      <c r="G56" s="266">
        <f t="shared" si="18"/>
        <v>0.11116229322215655</v>
      </c>
    </row>
    <row r="58" spans="1:9" ht="12.75" thickBot="1">
      <c r="A58" s="259"/>
      <c r="B58" s="118">
        <f>SUM(B50:B57)</f>
        <v>3047216.6330999993</v>
      </c>
      <c r="C58" s="118">
        <f t="shared" ref="C58:E58" si="19">SUM(C50:C57)</f>
        <v>1911435.9016425128</v>
      </c>
      <c r="D58" s="118">
        <f t="shared" si="19"/>
        <v>84644.906474999967</v>
      </c>
      <c r="E58" s="118">
        <f t="shared" si="19"/>
        <v>-9248.0988766359733</v>
      </c>
      <c r="F58" s="118">
        <f>SUM(F50:F57)</f>
        <v>1060383.9238591222</v>
      </c>
      <c r="G58" s="266">
        <f>+F58/B58</f>
        <v>0.3479844236674341</v>
      </c>
      <c r="I58" s="4">
        <f>SUM(C58:E58)</f>
        <v>1986832.7092408766</v>
      </c>
    </row>
    <row r="61" spans="1:9">
      <c r="A61" s="256">
        <v>2021</v>
      </c>
    </row>
    <row r="62" spans="1:9">
      <c r="A62" s="257" t="s">
        <v>127</v>
      </c>
      <c r="B62" s="28" t="s">
        <v>122</v>
      </c>
      <c r="C62" s="28" t="s">
        <v>123</v>
      </c>
      <c r="D62" s="28" t="s">
        <v>124</v>
      </c>
      <c r="E62" s="28" t="s">
        <v>481</v>
      </c>
      <c r="F62" s="28" t="s">
        <v>125</v>
      </c>
      <c r="G62" s="265" t="s">
        <v>126</v>
      </c>
    </row>
    <row r="63" spans="1:9">
      <c r="A63" s="256" t="s">
        <v>5</v>
      </c>
      <c r="B63" s="4">
        <f>+'Chiffre d''affaire'!T3</f>
        <v>589345.14599999983</v>
      </c>
      <c r="C63" s="4">
        <f>+('Ach prévisionnel'!AC3+'Ach prévisionnel'!Z3-'Ach prévisionnel'!AE3)+'Ach prévisionnel'!AC17+'Ach prévisionnel'!AC30</f>
        <v>308357.16729011986</v>
      </c>
      <c r="D63" s="4">
        <f>+(B63/0.9)*0.025</f>
        <v>16370.698499999997</v>
      </c>
      <c r="E63" s="4">
        <f>+'Cout de production prévisionnel'!U3-'Cout de production prévisionnel'!Y3</f>
        <v>0</v>
      </c>
      <c r="F63" s="4">
        <f t="shared" ref="F63:F69" si="20">+(B63-(C63+D63+E63))</f>
        <v>264617.28020987997</v>
      </c>
      <c r="G63" s="266">
        <f t="shared" ref="G63:G69" si="21">+F63/B63</f>
        <v>0.4490022222222223</v>
      </c>
    </row>
    <row r="64" spans="1:9">
      <c r="A64" s="258" t="s">
        <v>6</v>
      </c>
      <c r="B64" s="4">
        <f>+'Chiffre d''affaire'!T4</f>
        <v>825083.2043999997</v>
      </c>
      <c r="C64" s="4">
        <f>+('Ach prévisionnel'!AC4+'Ach prévisionnel'!Z4-'Ach prévisionnel'!AE4)+'Ach prévisionnel'!AC18+'Ach prévisionnel'!AC31</f>
        <v>460473.69775211992</v>
      </c>
      <c r="D64" s="4">
        <f t="shared" ref="D64:D69" si="22">+(B64/0.9)*0.025</f>
        <v>22918.977899999994</v>
      </c>
      <c r="E64" s="4">
        <f>+'Cout de production prévisionnel'!U4-'Cout de production prévisionnel'!Y4</f>
        <v>0</v>
      </c>
      <c r="F64" s="4">
        <f t="shared" si="20"/>
        <v>341690.52874787978</v>
      </c>
      <c r="G64" s="267">
        <f t="shared" si="21"/>
        <v>0.41412857142857135</v>
      </c>
    </row>
    <row r="65" spans="1:9">
      <c r="A65" s="256" t="s">
        <v>7</v>
      </c>
      <c r="B65" s="4">
        <f>+'Chiffre d''affaire'!T5</f>
        <v>707214.17519999982</v>
      </c>
      <c r="C65" s="4">
        <f>+('Ach prévisionnel'!AC5+'Ach prévisionnel'!Z5-'Ach prévisionnel'!AE5)+'Ach prévisionnel'!AC19+'Ach prévisionnel'!AC32</f>
        <v>374494.78923011984</v>
      </c>
      <c r="D65" s="4">
        <f t="shared" si="22"/>
        <v>19644.838199999998</v>
      </c>
      <c r="E65" s="4">
        <f>+'Cout de production prévisionnel'!U5-'Cout de production prévisionnel'!Y5</f>
        <v>0</v>
      </c>
      <c r="F65" s="4">
        <f t="shared" si="20"/>
        <v>313074.54776987998</v>
      </c>
      <c r="G65" s="266">
        <f t="shared" si="21"/>
        <v>0.4426870370370371</v>
      </c>
    </row>
    <row r="66" spans="1:9">
      <c r="A66" s="256" t="s">
        <v>45</v>
      </c>
      <c r="B66" s="4">
        <f>+'Chiffre d''affaire'!T6</f>
        <v>231393.52687499992</v>
      </c>
      <c r="C66" s="4">
        <f>+('Ach prévisionnel'!AC6+'Ach prévisionnel'!Z6-'Ach prévisionnel'!AE6)+'Ach prévisionnel'!AC20+'Ach prévisionnel'!AC33</f>
        <v>191880.18055972501</v>
      </c>
      <c r="D66" s="4">
        <f t="shared" si="22"/>
        <v>6427.5979687499976</v>
      </c>
      <c r="E66" s="4">
        <f>+'Cout de production prévisionnel'!U6-'Cout de production prévisionnel'!Y6</f>
        <v>0</v>
      </c>
      <c r="F66" s="4">
        <f t="shared" si="20"/>
        <v>33085.748346524924</v>
      </c>
      <c r="G66" s="266">
        <f t="shared" si="21"/>
        <v>0.14298476190476161</v>
      </c>
    </row>
    <row r="67" spans="1:9">
      <c r="A67" s="256" t="s">
        <v>43</v>
      </c>
      <c r="B67" s="4">
        <f>+'Chiffre d''affaire'!T7</f>
        <v>231393.52687499992</v>
      </c>
      <c r="C67" s="4">
        <f>+('Ach prévisionnel'!AC7+'Ach prévisionnel'!Z7-'Ach prévisionnel'!AE7)+'Ach prévisionnel'!AC21+'Ach prévisionnel'!AC34</f>
        <v>191880.18055972501</v>
      </c>
      <c r="D67" s="4">
        <f t="shared" si="22"/>
        <v>6427.5979687499976</v>
      </c>
      <c r="E67" s="4">
        <f>+'Cout de production prévisionnel'!U7-'Cout de production prévisionnel'!Y7</f>
        <v>0</v>
      </c>
      <c r="F67" s="4">
        <f t="shared" si="20"/>
        <v>33085.748346524924</v>
      </c>
      <c r="G67" s="266">
        <f t="shared" si="21"/>
        <v>0.14298476190476161</v>
      </c>
    </row>
    <row r="68" spans="1:9">
      <c r="A68" s="256" t="s">
        <v>44</v>
      </c>
      <c r="B68" s="4">
        <f>+'Chiffre d''affaire'!T8</f>
        <v>231393.52687499992</v>
      </c>
      <c r="C68" s="4">
        <f>+('Ach prévisionnel'!AC8+'Ach prévisionnel'!Z8-'Ach prévisionnel'!AE8)+'Ach prévisionnel'!AC22+'Ach prévisionnel'!AC35</f>
        <v>177041.611534725</v>
      </c>
      <c r="D68" s="4">
        <f t="shared" si="22"/>
        <v>6427.5979687499976</v>
      </c>
      <c r="E68" s="4">
        <f>+'Cout de production prévisionnel'!U8-'Cout de production prévisionnel'!Y8</f>
        <v>0</v>
      </c>
      <c r="F68" s="4">
        <f t="shared" si="20"/>
        <v>47924.317371524929</v>
      </c>
      <c r="G68" s="266">
        <f t="shared" si="21"/>
        <v>0.20711174603174579</v>
      </c>
    </row>
    <row r="69" spans="1:9">
      <c r="A69" s="256" t="s">
        <v>92</v>
      </c>
      <c r="B69" s="4">
        <f>+'Chiffre d''affaire'!T9</f>
        <v>231393.52687499992</v>
      </c>
      <c r="C69" s="4">
        <f>+('Ach prévisionnel'!AC9+'Ach prévisionnel'!Z9-'Ach prévisionnel'!AE9)+'Ach prévisionnel'!AC23+'Ach prévisionnel'!AC36</f>
        <v>199299.46507222496</v>
      </c>
      <c r="D69" s="4">
        <f t="shared" si="22"/>
        <v>6427.5979687499976</v>
      </c>
      <c r="E69" s="4">
        <f>+'Cout de production prévisionnel'!U9-'Cout de production prévisionnel'!Y9</f>
        <v>0</v>
      </c>
      <c r="F69" s="4">
        <f t="shared" si="20"/>
        <v>25666.463834024966</v>
      </c>
      <c r="G69" s="266">
        <f t="shared" si="21"/>
        <v>0.11092126984126972</v>
      </c>
    </row>
    <row r="71" spans="1:9" ht="12.75" thickBot="1">
      <c r="A71" s="259"/>
      <c r="B71" s="118">
        <f>SUM(B63:B70)</f>
        <v>3047216.6330999993</v>
      </c>
      <c r="C71" s="118">
        <f t="shared" ref="C71:E71" si="23">SUM(C63:C70)</f>
        <v>1903427.0919987597</v>
      </c>
      <c r="D71" s="118">
        <f t="shared" si="23"/>
        <v>84644.906474999967</v>
      </c>
      <c r="E71" s="118">
        <f t="shared" si="23"/>
        <v>0</v>
      </c>
      <c r="F71" s="118">
        <f>SUM(F63:F70)</f>
        <v>1059144.6346262393</v>
      </c>
      <c r="G71" s="266">
        <f>+F71/B71</f>
        <v>0.34757772818690236</v>
      </c>
      <c r="I71" s="4">
        <f>SUM(C71:E71)</f>
        <v>1988071.9984737597</v>
      </c>
    </row>
    <row r="74" spans="1:9">
      <c r="A74" s="256">
        <v>2022</v>
      </c>
    </row>
    <row r="75" spans="1:9">
      <c r="A75" s="257" t="s">
        <v>127</v>
      </c>
      <c r="B75" s="28" t="s">
        <v>122</v>
      </c>
      <c r="C75" s="28" t="s">
        <v>123</v>
      </c>
      <c r="D75" s="28" t="s">
        <v>124</v>
      </c>
      <c r="E75" s="28" t="s">
        <v>481</v>
      </c>
      <c r="F75" s="28" t="s">
        <v>125</v>
      </c>
      <c r="G75" s="265" t="s">
        <v>126</v>
      </c>
    </row>
    <row r="76" spans="1:9">
      <c r="A76" s="256" t="s">
        <v>5</v>
      </c>
      <c r="B76" s="4">
        <f>+'Chiffre d''affaire'!V3</f>
        <v>589345.14599999983</v>
      </c>
      <c r="C76" s="4">
        <f>+('Ach prévisionnel'!AH3+'Ach prévisionnel'!AE3-'Ach prévisionnel'!AJ3)+'Ach prévisionnel'!AH17+'Ach prévisionnel'!AH30</f>
        <v>308357.16729011992</v>
      </c>
      <c r="D76" s="4">
        <f>+(B76/0.9)*0.025</f>
        <v>16370.698499999997</v>
      </c>
      <c r="E76" s="4">
        <f>+'Cout de production prévisionnel'!Q28-'Cout de production prévisionnel'!U28</f>
        <v>0</v>
      </c>
      <c r="F76" s="4">
        <f t="shared" ref="F76:F82" si="24">+(B76-(C76+D76+E76))</f>
        <v>264617.28020987991</v>
      </c>
      <c r="G76" s="266">
        <f t="shared" ref="G76:G82" si="25">+F76/B76</f>
        <v>0.44900222222222219</v>
      </c>
    </row>
    <row r="77" spans="1:9">
      <c r="A77" s="258" t="s">
        <v>6</v>
      </c>
      <c r="B77" s="4">
        <f>+'Chiffre d''affaire'!V4</f>
        <v>825083.2043999997</v>
      </c>
      <c r="C77" s="4">
        <f>+('Ach prévisionnel'!AH4+'Ach prévisionnel'!AE4-'Ach prévisionnel'!AJ4)+'Ach prévisionnel'!AH18+'Ach prévisionnel'!AH31</f>
        <v>460473.69775211992</v>
      </c>
      <c r="D77" s="4">
        <f t="shared" ref="D77:D82" si="26">+(B77/0.9)*0.025</f>
        <v>22918.977899999994</v>
      </c>
      <c r="E77" s="4">
        <f>+'Cout de production prévisionnel'!Q29-'Cout de production prévisionnel'!U29</f>
        <v>0</v>
      </c>
      <c r="F77" s="4">
        <f t="shared" si="24"/>
        <v>341690.52874787978</v>
      </c>
      <c r="G77" s="267">
        <f t="shared" si="25"/>
        <v>0.41412857142857135</v>
      </c>
    </row>
    <row r="78" spans="1:9">
      <c r="A78" s="256" t="s">
        <v>7</v>
      </c>
      <c r="B78" s="4">
        <f>+'Chiffre d''affaire'!V5</f>
        <v>707214.17519999982</v>
      </c>
      <c r="C78" s="4">
        <f>+('Ach prévisionnel'!AH5+'Ach prévisionnel'!AE5-'Ach prévisionnel'!AJ5)+'Ach prévisionnel'!AH19+'Ach prévisionnel'!AH32</f>
        <v>374494.78923011996</v>
      </c>
      <c r="D78" s="4">
        <f t="shared" si="26"/>
        <v>19644.838199999998</v>
      </c>
      <c r="E78" s="4">
        <f>+'Cout de production prévisionnel'!Q30-'Cout de production prévisionnel'!U30</f>
        <v>0</v>
      </c>
      <c r="F78" s="4">
        <f t="shared" si="24"/>
        <v>313074.54776987986</v>
      </c>
      <c r="G78" s="266">
        <f t="shared" si="25"/>
        <v>0.44268703703703693</v>
      </c>
    </row>
    <row r="79" spans="1:9">
      <c r="A79" s="256" t="s">
        <v>45</v>
      </c>
      <c r="B79" s="4">
        <f>+'Chiffre d''affaire'!V6</f>
        <v>231393.52687499992</v>
      </c>
      <c r="C79" s="4">
        <f>+('Ach prévisionnel'!AH6+'Ach prévisionnel'!AE6-'Ach prévisionnel'!AJ6)+'Ach prévisionnel'!AH20+'Ach prévisionnel'!AH33</f>
        <v>191880.18055972495</v>
      </c>
      <c r="D79" s="4">
        <f t="shared" si="26"/>
        <v>6427.5979687499976</v>
      </c>
      <c r="E79" s="4">
        <f>+'Cout de production prévisionnel'!Q31-'Cout de production prévisionnel'!U31</f>
        <v>0</v>
      </c>
      <c r="F79" s="4">
        <f t="shared" si="24"/>
        <v>33085.748346524982</v>
      </c>
      <c r="G79" s="266">
        <f t="shared" si="25"/>
        <v>0.14298476190476186</v>
      </c>
    </row>
    <row r="80" spans="1:9">
      <c r="A80" s="256" t="s">
        <v>43</v>
      </c>
      <c r="B80" s="4">
        <f>+'Chiffre d''affaire'!V7</f>
        <v>231393.52687499992</v>
      </c>
      <c r="C80" s="4">
        <f>+('Ach prévisionnel'!AH7+'Ach prévisionnel'!AE7-'Ach prévisionnel'!AJ7)+'Ach prévisionnel'!AH21+'Ach prévisionnel'!AH34</f>
        <v>191880.18055972495</v>
      </c>
      <c r="D80" s="4">
        <f t="shared" si="26"/>
        <v>6427.5979687499976</v>
      </c>
      <c r="E80" s="4">
        <f>+'Cout de production prévisionnel'!Q32-'Cout de production prévisionnel'!U32</f>
        <v>0</v>
      </c>
      <c r="F80" s="4">
        <f t="shared" si="24"/>
        <v>33085.748346524982</v>
      </c>
      <c r="G80" s="266">
        <f t="shared" si="25"/>
        <v>0.14298476190476186</v>
      </c>
    </row>
    <row r="81" spans="1:9">
      <c r="A81" s="256" t="s">
        <v>44</v>
      </c>
      <c r="B81" s="4">
        <f>+'Chiffre d''affaire'!V8</f>
        <v>231393.52687499992</v>
      </c>
      <c r="C81" s="4">
        <f>+('Ach prévisionnel'!AH8+'Ach prévisionnel'!AE8-'Ach prévisionnel'!AJ8)+'Ach prévisionnel'!AH22+'Ach prévisionnel'!AH35</f>
        <v>177041.61153472497</v>
      </c>
      <c r="D81" s="4">
        <f t="shared" si="26"/>
        <v>6427.5979687499976</v>
      </c>
      <c r="E81" s="4">
        <f>+'Cout de production prévisionnel'!Q33-'Cout de production prévisionnel'!U33</f>
        <v>0</v>
      </c>
      <c r="F81" s="4">
        <f t="shared" si="24"/>
        <v>47924.317371524958</v>
      </c>
      <c r="G81" s="266">
        <f t="shared" si="25"/>
        <v>0.20711174603174592</v>
      </c>
    </row>
    <row r="82" spans="1:9">
      <c r="A82" s="256" t="s">
        <v>92</v>
      </c>
      <c r="B82" s="4">
        <f>+'Chiffre d''affaire'!V9</f>
        <v>231393.52687499992</v>
      </c>
      <c r="C82" s="4">
        <f>+('Ach prévisionnel'!AH9+'Ach prévisionnel'!AE9-'Ach prévisionnel'!AJ9)+'Ach prévisionnel'!AH23+'Ach prévisionnel'!AH36</f>
        <v>199299.46507222496</v>
      </c>
      <c r="D82" s="4">
        <f t="shared" si="26"/>
        <v>6427.5979687499976</v>
      </c>
      <c r="E82" s="4">
        <f>+'Cout de production prévisionnel'!Q34-'Cout de production prévisionnel'!U34</f>
        <v>0</v>
      </c>
      <c r="F82" s="4">
        <f t="shared" si="24"/>
        <v>25666.463834024966</v>
      </c>
      <c r="G82" s="266">
        <f t="shared" si="25"/>
        <v>0.11092126984126972</v>
      </c>
    </row>
    <row r="84" spans="1:9" ht="12.75" thickBot="1">
      <c r="A84" s="259"/>
      <c r="B84" s="118">
        <f>SUM(B76:B83)</f>
        <v>3047216.6330999993</v>
      </c>
      <c r="C84" s="118">
        <f>SUM(C76:C83)</f>
        <v>1903427.0919987597</v>
      </c>
      <c r="D84" s="118">
        <f t="shared" ref="D84" si="27">SUM(D76:D83)</f>
        <v>84644.906474999967</v>
      </c>
      <c r="E84" s="118"/>
      <c r="F84" s="118">
        <f>SUM(F76:F83)</f>
        <v>1059144.6346262395</v>
      </c>
      <c r="G84" s="266">
        <f>+F84/B84</f>
        <v>0.34757772818690241</v>
      </c>
      <c r="I84" s="4">
        <f>SUM(C84:E84)</f>
        <v>1988071.9984737597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AJ41"/>
  <sheetViews>
    <sheetView workbookViewId="0">
      <selection activeCell="C11" sqref="C11"/>
    </sheetView>
  </sheetViews>
  <sheetFormatPr baseColWidth="10" defaultRowHeight="15"/>
  <cols>
    <col min="1" max="1" width="9.7109375" customWidth="1"/>
    <col min="2" max="2" width="12.5703125" bestFit="1" customWidth="1"/>
    <col min="3" max="3" width="9.42578125" bestFit="1" customWidth="1"/>
    <col min="4" max="5" width="12.5703125" bestFit="1" customWidth="1"/>
    <col min="6" max="6" width="9.42578125" bestFit="1" customWidth="1"/>
    <col min="7" max="7" width="10" bestFit="1" customWidth="1"/>
    <col min="8" max="9" width="12.5703125" bestFit="1" customWidth="1"/>
    <col min="10" max="10" width="8.7109375" bestFit="1" customWidth="1"/>
    <col min="11" max="11" width="12.5703125" bestFit="1" customWidth="1"/>
    <col min="12" max="12" width="9.42578125" bestFit="1" customWidth="1"/>
    <col min="13" max="13" width="9" bestFit="1" customWidth="1"/>
    <col min="14" max="14" width="12.5703125" bestFit="1" customWidth="1"/>
    <col min="15" max="15" width="9.42578125" bestFit="1" customWidth="1"/>
    <col min="16" max="16" width="7.85546875" bestFit="1" customWidth="1"/>
    <col min="17" max="18" width="9" bestFit="1" customWidth="1"/>
    <col min="19" max="19" width="12.5703125" bestFit="1" customWidth="1"/>
    <col min="20" max="20" width="8.7109375" bestFit="1" customWidth="1"/>
    <col min="21" max="21" width="7.85546875" bestFit="1" customWidth="1"/>
    <col min="22" max="22" width="11" bestFit="1" customWidth="1"/>
    <col min="23" max="23" width="9" bestFit="1" customWidth="1"/>
    <col min="24" max="24" width="12.5703125" bestFit="1" customWidth="1"/>
    <col min="25" max="25" width="8.7109375" bestFit="1" customWidth="1"/>
    <col min="26" max="26" width="7.85546875" bestFit="1" customWidth="1"/>
  </cols>
  <sheetData>
    <row r="2" spans="1:36">
      <c r="A2" s="15" t="s">
        <v>389</v>
      </c>
      <c r="B2" s="465">
        <v>2016</v>
      </c>
      <c r="C2" s="465"/>
      <c r="D2" s="465"/>
      <c r="E2" s="465"/>
      <c r="F2" s="465"/>
      <c r="G2" s="466">
        <v>2017</v>
      </c>
      <c r="H2" s="466"/>
      <c r="I2" s="466"/>
      <c r="J2" s="466"/>
      <c r="K2" s="466"/>
      <c r="L2" s="467">
        <v>2018</v>
      </c>
      <c r="M2" s="467"/>
      <c r="N2" s="467"/>
      <c r="O2" s="467"/>
      <c r="P2" s="467"/>
      <c r="Q2" s="468">
        <v>2019</v>
      </c>
      <c r="R2" s="468"/>
      <c r="S2" s="468"/>
      <c r="T2" s="468"/>
      <c r="U2" s="468"/>
      <c r="V2" s="474">
        <v>2020</v>
      </c>
      <c r="W2" s="474"/>
      <c r="X2" s="474"/>
      <c r="Y2" s="474"/>
      <c r="Z2" s="474"/>
      <c r="AA2" s="474">
        <v>2021</v>
      </c>
      <c r="AB2" s="474"/>
      <c r="AC2" s="474"/>
      <c r="AD2" s="474"/>
      <c r="AE2" s="474"/>
      <c r="AF2" s="474">
        <v>2022</v>
      </c>
      <c r="AG2" s="474"/>
      <c r="AH2" s="474"/>
      <c r="AI2" s="474"/>
      <c r="AJ2" s="474"/>
    </row>
    <row r="3" spans="1:36" ht="15.75" thickBot="1">
      <c r="A3" s="50"/>
      <c r="B3" s="51" t="s">
        <v>380</v>
      </c>
      <c r="C3" s="50" t="s">
        <v>381</v>
      </c>
      <c r="D3" s="50" t="s">
        <v>382</v>
      </c>
      <c r="E3" s="50" t="s">
        <v>385</v>
      </c>
      <c r="F3" s="50" t="s">
        <v>384</v>
      </c>
      <c r="G3" s="51" t="s">
        <v>380</v>
      </c>
      <c r="H3" s="50" t="s">
        <v>381</v>
      </c>
      <c r="I3" s="50" t="s">
        <v>382</v>
      </c>
      <c r="J3" s="50" t="s">
        <v>383</v>
      </c>
      <c r="K3" s="50" t="s">
        <v>384</v>
      </c>
      <c r="L3" s="51" t="s">
        <v>380</v>
      </c>
      <c r="M3" s="50" t="s">
        <v>381</v>
      </c>
      <c r="N3" s="50" t="s">
        <v>382</v>
      </c>
      <c r="O3" s="50" t="s">
        <v>383</v>
      </c>
      <c r="P3" s="50" t="s">
        <v>384</v>
      </c>
      <c r="Q3" s="51" t="s">
        <v>380</v>
      </c>
      <c r="R3" s="50" t="s">
        <v>381</v>
      </c>
      <c r="S3" s="50" t="s">
        <v>382</v>
      </c>
      <c r="T3" s="50" t="s">
        <v>383</v>
      </c>
      <c r="U3" s="50" t="s">
        <v>384</v>
      </c>
      <c r="V3" s="51" t="s">
        <v>380</v>
      </c>
      <c r="W3" s="50" t="s">
        <v>381</v>
      </c>
      <c r="X3" s="50" t="s">
        <v>382</v>
      </c>
      <c r="Y3" s="50" t="s">
        <v>383</v>
      </c>
      <c r="Z3" s="50" t="s">
        <v>384</v>
      </c>
      <c r="AA3" s="51" t="s">
        <v>380</v>
      </c>
      <c r="AB3" s="50" t="s">
        <v>381</v>
      </c>
      <c r="AC3" s="50" t="s">
        <v>382</v>
      </c>
      <c r="AD3" s="50" t="s">
        <v>383</v>
      </c>
      <c r="AE3" s="50" t="s">
        <v>384</v>
      </c>
      <c r="AF3" s="51" t="s">
        <v>380</v>
      </c>
      <c r="AG3" s="50" t="s">
        <v>381</v>
      </c>
      <c r="AH3" s="50" t="s">
        <v>382</v>
      </c>
      <c r="AI3" s="50" t="s">
        <v>383</v>
      </c>
      <c r="AJ3" s="50" t="s">
        <v>384</v>
      </c>
    </row>
    <row r="4" spans="1:36">
      <c r="A4" s="3" t="s">
        <v>15</v>
      </c>
      <c r="B4" s="75">
        <f>+'Chiffre d''affaire'!F3</f>
        <v>37440</v>
      </c>
      <c r="C4" s="249">
        <f>+B4+'Cout de production prévisionnel'!D3</f>
        <v>38647.741935483871</v>
      </c>
      <c r="D4" s="13">
        <f>+C4*1.01</f>
        <v>39034.219354838708</v>
      </c>
      <c r="E4" s="75">
        <f>+D4*13/12</f>
        <v>42287.070967741929</v>
      </c>
      <c r="F4" s="4">
        <f>+E4/13</f>
        <v>3252.8516129032255</v>
      </c>
      <c r="G4" s="75">
        <f>+B4*1.15</f>
        <v>43056</v>
      </c>
      <c r="H4" s="249">
        <f>+G4+'Cout de production prévisionnel'!H3-'Cout de production prévisionnel'!D3</f>
        <v>43237.161290322583</v>
      </c>
      <c r="I4" s="13">
        <f>+H4*1.01</f>
        <v>43669.532903225809</v>
      </c>
      <c r="J4" s="75">
        <f>+(I4-F4)*13/12</f>
        <v>43784.738064516132</v>
      </c>
      <c r="K4" s="4">
        <f>+J4/13</f>
        <v>3368.0567741935488</v>
      </c>
      <c r="L4" s="75">
        <f>+G4*1.15</f>
        <v>49514.399999999994</v>
      </c>
      <c r="M4" s="249">
        <f>+L4+'Cout de production prévisionnel'!L3-'Cout de production prévisionnel'!H3</f>
        <v>49722.735483870958</v>
      </c>
      <c r="N4" s="13">
        <f>+M4*1.01</f>
        <v>50219.962838709667</v>
      </c>
      <c r="O4" s="75">
        <f>+(N4-K4)*13/12</f>
        <v>50756.231569892458</v>
      </c>
      <c r="P4" s="4">
        <f>+O4/13</f>
        <v>3904.3255053763428</v>
      </c>
      <c r="Q4">
        <f>+L4*1.15</f>
        <v>56941.55999999999</v>
      </c>
      <c r="R4" s="249">
        <f>+Q4+'Cout de production prévisionnel'!P3-'Cout de production prévisionnel'!L3</f>
        <v>57181.145806451605</v>
      </c>
      <c r="S4" s="13">
        <f>+R4*1.01</f>
        <v>57752.957264516124</v>
      </c>
      <c r="T4" s="75">
        <f>+(S4-P4)*13/12</f>
        <v>58336.017739068098</v>
      </c>
      <c r="U4" s="4">
        <f>+T4/13</f>
        <v>4487.3859799283155</v>
      </c>
      <c r="V4">
        <f>+Q4*1.15</f>
        <v>65482.793999999987</v>
      </c>
      <c r="W4" s="249">
        <f>+V4+'Cout de production prévisionnel'!T3-'Cout de production prévisionnel'!P3</f>
        <v>65758.317677419342</v>
      </c>
      <c r="X4" s="13">
        <f>+W4*1.01</f>
        <v>66415.900854193533</v>
      </c>
      <c r="Y4" s="75">
        <f>+(X4-U4)*13/12</f>
        <v>67089.22444712065</v>
      </c>
      <c r="Z4" s="4">
        <f>+Y4/13</f>
        <v>5160.709572855435</v>
      </c>
      <c r="AA4">
        <f>+V4</f>
        <v>65482.793999999987</v>
      </c>
      <c r="AB4" s="249">
        <f>+AA4+'Cout de production prévisionnel'!X3-'Cout de production prévisionnel'!T3</f>
        <v>65482.79399999998</v>
      </c>
      <c r="AC4" s="13">
        <f>+AB4*1.01</f>
        <v>66137.621939999983</v>
      </c>
      <c r="AD4" s="75">
        <f>+(AC4-Z4)*13/12</f>
        <v>66058.321731073258</v>
      </c>
      <c r="AE4" s="4">
        <f>+AD4/13</f>
        <v>5081.4093639287121</v>
      </c>
      <c r="AF4">
        <f>+AA4</f>
        <v>65482.793999999987</v>
      </c>
      <c r="AG4" s="249">
        <f>+AF4+'Cout de production prévisionnel'!AB3-'Cout de production prévisionnel'!X3</f>
        <v>65482.79399999998</v>
      </c>
      <c r="AH4" s="13">
        <f>+AG4*1.01</f>
        <v>66137.621939999983</v>
      </c>
      <c r="AI4" s="75">
        <f>+(AH4-AE4)*13/12</f>
        <v>66144.230290743886</v>
      </c>
      <c r="AJ4" s="4">
        <f>+AI4/13</f>
        <v>5088.0177146726064</v>
      </c>
    </row>
    <row r="5" spans="1:36">
      <c r="A5" s="3" t="s">
        <v>16</v>
      </c>
      <c r="B5" s="75">
        <f>+'Chiffre d''affaire'!F4</f>
        <v>37440</v>
      </c>
      <c r="C5" s="249">
        <f>+B5+'Cout de production prévisionnel'!D4</f>
        <v>38647.741935483871</v>
      </c>
      <c r="D5" s="13">
        <f t="shared" ref="D5:D10" si="0">+C5*1.01</f>
        <v>39034.219354838708</v>
      </c>
      <c r="E5" s="75">
        <f t="shared" ref="E5:E10" si="1">+D5*13/12</f>
        <v>42287.070967741929</v>
      </c>
      <c r="F5" s="4">
        <f t="shared" ref="F5:F10" si="2">+E5/13</f>
        <v>3252.8516129032255</v>
      </c>
      <c r="G5" s="75">
        <f t="shared" ref="G5:G10" si="3">+B5*1.15</f>
        <v>43056</v>
      </c>
      <c r="H5" s="249">
        <f>+G5+'Cout de production prévisionnel'!H4-'Cout de production prévisionnel'!D4</f>
        <v>43237.161290322583</v>
      </c>
      <c r="I5" s="13">
        <f t="shared" ref="I5:I10" si="4">+H5*1.01</f>
        <v>43669.532903225809</v>
      </c>
      <c r="J5" s="75">
        <f t="shared" ref="J5:J10" si="5">+(I5-F5)*13/12</f>
        <v>43784.738064516132</v>
      </c>
      <c r="K5" s="4">
        <f t="shared" ref="K5:K10" si="6">+J5/13</f>
        <v>3368.0567741935488</v>
      </c>
      <c r="L5" s="75">
        <f t="shared" ref="L5:L10" si="7">+G5*1.15</f>
        <v>49514.399999999994</v>
      </c>
      <c r="M5" s="249">
        <f>+L5+'Cout de production prévisionnel'!L4-'Cout de production prévisionnel'!H4</f>
        <v>49722.735483870958</v>
      </c>
      <c r="N5" s="13">
        <f t="shared" ref="N5:N10" si="8">+M5*1.01</f>
        <v>50219.962838709667</v>
      </c>
      <c r="O5" s="75">
        <f t="shared" ref="O5:O10" si="9">+(N5-K5)*13/12</f>
        <v>50756.231569892458</v>
      </c>
      <c r="P5" s="4">
        <f t="shared" ref="P5:P10" si="10">+O5/13</f>
        <v>3904.3255053763428</v>
      </c>
      <c r="Q5">
        <f t="shared" ref="Q5:Q10" si="11">+L5*1.15</f>
        <v>56941.55999999999</v>
      </c>
      <c r="R5" s="249">
        <f>+Q5+'Cout de production prévisionnel'!P4-'Cout de production prévisionnel'!L4</f>
        <v>57181.145806451605</v>
      </c>
      <c r="S5" s="13">
        <f t="shared" ref="S5:S10" si="12">+R5*1.01</f>
        <v>57752.957264516124</v>
      </c>
      <c r="T5" s="75">
        <f t="shared" ref="T5:T10" si="13">+(S5-P5)*13/12</f>
        <v>58336.017739068098</v>
      </c>
      <c r="U5" s="4">
        <f t="shared" ref="U5:U10" si="14">+T5/13</f>
        <v>4487.3859799283155</v>
      </c>
      <c r="V5">
        <f t="shared" ref="V5:V10" si="15">+Q5*1.15</f>
        <v>65482.793999999987</v>
      </c>
      <c r="W5" s="249">
        <f>+V5+'Cout de production prévisionnel'!T4-'Cout de production prévisionnel'!P4</f>
        <v>65758.317677419342</v>
      </c>
      <c r="X5" s="13">
        <f t="shared" ref="X5:X10" si="16">+W5*1.01</f>
        <v>66415.900854193533</v>
      </c>
      <c r="Y5" s="75">
        <f t="shared" ref="Y5:Y10" si="17">+(X5-U5)*13/12</f>
        <v>67089.22444712065</v>
      </c>
      <c r="Z5" s="4">
        <f t="shared" ref="Z5:Z10" si="18">+Y5/13</f>
        <v>5160.709572855435</v>
      </c>
      <c r="AA5">
        <f t="shared" ref="AA5:AA10" si="19">+V5</f>
        <v>65482.793999999987</v>
      </c>
      <c r="AB5" s="249">
        <f>+AA5+'Cout de production prévisionnel'!X4-'Cout de production prévisionnel'!T4</f>
        <v>65482.79399999998</v>
      </c>
      <c r="AC5" s="13">
        <f t="shared" ref="AC5:AC10" si="20">+AB5*1.01</f>
        <v>66137.621939999983</v>
      </c>
      <c r="AD5" s="75">
        <f t="shared" ref="AD5:AD10" si="21">+(AC5-Z5)*13/12</f>
        <v>66058.321731073258</v>
      </c>
      <c r="AE5" s="4">
        <f t="shared" ref="AE5:AE10" si="22">+AD5/13</f>
        <v>5081.4093639287121</v>
      </c>
      <c r="AF5">
        <f t="shared" ref="AF5:AF10" si="23">+AA5</f>
        <v>65482.793999999987</v>
      </c>
      <c r="AG5" s="249">
        <f>+AF5+'Cout de production prévisionnel'!AB4-'Cout de production prévisionnel'!X4</f>
        <v>65482.79399999998</v>
      </c>
      <c r="AH5" s="13">
        <f t="shared" ref="AH5:AH10" si="24">+AG5*1.01</f>
        <v>66137.621939999983</v>
      </c>
      <c r="AI5" s="75">
        <f t="shared" ref="AI5:AI10" si="25">+(AH5-AE5)*13/12</f>
        <v>66144.230290743886</v>
      </c>
      <c r="AJ5" s="4">
        <f t="shared" ref="AJ5:AJ10" si="26">+AI5/13</f>
        <v>5088.0177146726064</v>
      </c>
    </row>
    <row r="6" spans="1:36">
      <c r="A6" s="3" t="s">
        <v>17</v>
      </c>
      <c r="B6" s="75">
        <f>+'Chiffre d''affaire'!F5</f>
        <v>37440</v>
      </c>
      <c r="C6" s="249">
        <f>+B6+'Cout de production prévisionnel'!D5</f>
        <v>38647.741935483871</v>
      </c>
      <c r="D6" s="13">
        <f t="shared" si="0"/>
        <v>39034.219354838708</v>
      </c>
      <c r="E6" s="75">
        <f t="shared" si="1"/>
        <v>42287.070967741929</v>
      </c>
      <c r="F6" s="4">
        <f t="shared" si="2"/>
        <v>3252.8516129032255</v>
      </c>
      <c r="G6" s="75">
        <f t="shared" si="3"/>
        <v>43056</v>
      </c>
      <c r="H6" s="249">
        <f>+G6+'Cout de production prévisionnel'!H5-'Cout de production prévisionnel'!D5</f>
        <v>43237.161290322583</v>
      </c>
      <c r="I6" s="13">
        <f t="shared" si="4"/>
        <v>43669.532903225809</v>
      </c>
      <c r="J6" s="75">
        <f t="shared" si="5"/>
        <v>43784.738064516132</v>
      </c>
      <c r="K6" s="4">
        <f t="shared" si="6"/>
        <v>3368.0567741935488</v>
      </c>
      <c r="L6" s="75">
        <f t="shared" si="7"/>
        <v>49514.399999999994</v>
      </c>
      <c r="M6" s="249">
        <f>+L6+'Cout de production prévisionnel'!L5-'Cout de production prévisionnel'!H5</f>
        <v>49722.735483870958</v>
      </c>
      <c r="N6" s="13">
        <f t="shared" si="8"/>
        <v>50219.962838709667</v>
      </c>
      <c r="O6" s="75">
        <f t="shared" si="9"/>
        <v>50756.231569892458</v>
      </c>
      <c r="P6" s="4">
        <f t="shared" si="10"/>
        <v>3904.3255053763428</v>
      </c>
      <c r="Q6">
        <f t="shared" si="11"/>
        <v>56941.55999999999</v>
      </c>
      <c r="R6" s="249">
        <f>+Q6+'Cout de production prévisionnel'!P5-'Cout de production prévisionnel'!L5</f>
        <v>57181.145806451605</v>
      </c>
      <c r="S6" s="13">
        <f t="shared" si="12"/>
        <v>57752.957264516124</v>
      </c>
      <c r="T6" s="75">
        <f t="shared" si="13"/>
        <v>58336.017739068098</v>
      </c>
      <c r="U6" s="4">
        <f t="shared" si="14"/>
        <v>4487.3859799283155</v>
      </c>
      <c r="V6">
        <f t="shared" si="15"/>
        <v>65482.793999999987</v>
      </c>
      <c r="W6" s="249">
        <f>+V6+'Cout de production prévisionnel'!T5-'Cout de production prévisionnel'!P5</f>
        <v>65758.317677419342</v>
      </c>
      <c r="X6" s="13">
        <f t="shared" si="16"/>
        <v>66415.900854193533</v>
      </c>
      <c r="Y6" s="75">
        <f t="shared" si="17"/>
        <v>67089.22444712065</v>
      </c>
      <c r="Z6" s="4">
        <f t="shared" si="18"/>
        <v>5160.709572855435</v>
      </c>
      <c r="AA6">
        <f t="shared" si="19"/>
        <v>65482.793999999987</v>
      </c>
      <c r="AB6" s="249">
        <f>+AA6+'Cout de production prévisionnel'!X5-'Cout de production prévisionnel'!T5</f>
        <v>65482.79399999998</v>
      </c>
      <c r="AC6" s="13">
        <f t="shared" si="20"/>
        <v>66137.621939999983</v>
      </c>
      <c r="AD6" s="75">
        <f t="shared" si="21"/>
        <v>66058.321731073258</v>
      </c>
      <c r="AE6" s="4">
        <f t="shared" si="22"/>
        <v>5081.4093639287121</v>
      </c>
      <c r="AF6">
        <f t="shared" si="23"/>
        <v>65482.793999999987</v>
      </c>
      <c r="AG6" s="249">
        <f>+AF6+'Cout de production prévisionnel'!AB5-'Cout de production prévisionnel'!X5</f>
        <v>65482.79399999998</v>
      </c>
      <c r="AH6" s="13">
        <f t="shared" si="24"/>
        <v>66137.621939999983</v>
      </c>
      <c r="AI6" s="75">
        <f t="shared" si="25"/>
        <v>66144.230290743886</v>
      </c>
      <c r="AJ6" s="4">
        <f t="shared" si="26"/>
        <v>5088.0177146726064</v>
      </c>
    </row>
    <row r="7" spans="1:36">
      <c r="A7" s="3" t="s">
        <v>51</v>
      </c>
      <c r="B7" s="75">
        <f>+'Chiffre d''affaire'!F6</f>
        <v>4200</v>
      </c>
      <c r="C7" s="249">
        <f>+B7+'Cout de production prévisionnel'!D6</f>
        <v>4335.4838709677424</v>
      </c>
      <c r="D7" s="13">
        <f t="shared" si="0"/>
        <v>4378.8387096774195</v>
      </c>
      <c r="E7" s="75">
        <f t="shared" si="1"/>
        <v>4743.7419354838712</v>
      </c>
      <c r="F7" s="4">
        <f t="shared" si="2"/>
        <v>364.90322580645164</v>
      </c>
      <c r="G7" s="75">
        <f t="shared" si="3"/>
        <v>4830</v>
      </c>
      <c r="H7" s="249">
        <f>+G7+'Cout de production prévisionnel'!H6-'Cout de production prévisionnel'!D6</f>
        <v>4850.322580645161</v>
      </c>
      <c r="I7" s="13">
        <f t="shared" si="4"/>
        <v>4898.8258064516131</v>
      </c>
      <c r="J7" s="75">
        <f t="shared" si="5"/>
        <v>4911.7494623655912</v>
      </c>
      <c r="K7" s="4">
        <f t="shared" si="6"/>
        <v>377.82688172043009</v>
      </c>
      <c r="L7" s="75">
        <f t="shared" si="7"/>
        <v>5554.5</v>
      </c>
      <c r="M7" s="249">
        <f>+L7+'Cout de production prévisionnel'!L6-'Cout de production prévisionnel'!H6</f>
        <v>5577.8709677419356</v>
      </c>
      <c r="N7" s="13">
        <f t="shared" si="8"/>
        <v>5633.6496774193547</v>
      </c>
      <c r="O7" s="75">
        <f t="shared" si="9"/>
        <v>5693.8080286738359</v>
      </c>
      <c r="P7" s="4">
        <f t="shared" si="10"/>
        <v>437.98523297491045</v>
      </c>
      <c r="Q7">
        <f t="shared" si="11"/>
        <v>6387.6749999999993</v>
      </c>
      <c r="R7" s="249">
        <f>+Q7+'Cout de production prévisionnel'!P6-'Cout de production prévisionnel'!L6</f>
        <v>6414.5516129032249</v>
      </c>
      <c r="S7" s="13">
        <f t="shared" si="12"/>
        <v>6478.6971290322572</v>
      </c>
      <c r="T7" s="75">
        <f t="shared" si="13"/>
        <v>6544.1045540621262</v>
      </c>
      <c r="U7" s="4">
        <f t="shared" si="14"/>
        <v>503.39265800477892</v>
      </c>
      <c r="V7">
        <f t="shared" si="15"/>
        <v>7345.8262499999983</v>
      </c>
      <c r="W7" s="249">
        <f>+V7+'Cout de production prévisionnel'!T6-'Cout de production prévisionnel'!P6</f>
        <v>7376.734354838708</v>
      </c>
      <c r="X7" s="13">
        <f t="shared" si="16"/>
        <v>7450.5016983870955</v>
      </c>
      <c r="Y7" s="75">
        <f t="shared" si="17"/>
        <v>7526.034793747509</v>
      </c>
      <c r="Z7" s="4">
        <f t="shared" si="18"/>
        <v>578.92575336519303</v>
      </c>
      <c r="AA7">
        <f t="shared" si="19"/>
        <v>7345.8262499999983</v>
      </c>
      <c r="AB7" s="249">
        <f>+AA7+'Cout de production prévisionnel'!X6-'Cout de production prévisionnel'!T6</f>
        <v>7345.8262499999983</v>
      </c>
      <c r="AC7" s="13">
        <f t="shared" si="20"/>
        <v>7419.2845124999985</v>
      </c>
      <c r="AD7" s="75">
        <f t="shared" si="21"/>
        <v>7410.3886557293736</v>
      </c>
      <c r="AE7" s="4">
        <f t="shared" si="22"/>
        <v>570.02989659456716</v>
      </c>
      <c r="AF7">
        <f t="shared" si="23"/>
        <v>7345.8262499999983</v>
      </c>
      <c r="AG7" s="249">
        <f>+AF7+'Cout de production prévisionnel'!AB6-'Cout de production prévisionnel'!X6</f>
        <v>7345.8262499999983</v>
      </c>
      <c r="AH7" s="13">
        <f t="shared" si="24"/>
        <v>7419.2845124999985</v>
      </c>
      <c r="AI7" s="75">
        <f t="shared" si="25"/>
        <v>7420.02583389755</v>
      </c>
      <c r="AJ7" s="4">
        <f t="shared" si="26"/>
        <v>570.7712179921192</v>
      </c>
    </row>
    <row r="8" spans="1:36">
      <c r="A8" s="3" t="s">
        <v>52</v>
      </c>
      <c r="B8" s="75">
        <f>+'Chiffre d''affaire'!F7</f>
        <v>4200</v>
      </c>
      <c r="C8" s="249">
        <f>+B8+'Cout de production prévisionnel'!D7</f>
        <v>4335.4838709677424</v>
      </c>
      <c r="D8" s="13">
        <f t="shared" si="0"/>
        <v>4378.8387096774195</v>
      </c>
      <c r="E8" s="75">
        <f t="shared" si="1"/>
        <v>4743.7419354838712</v>
      </c>
      <c r="F8" s="4">
        <f t="shared" si="2"/>
        <v>364.90322580645164</v>
      </c>
      <c r="G8" s="75">
        <f t="shared" si="3"/>
        <v>4830</v>
      </c>
      <c r="H8" s="249">
        <f>+G8+'Cout de production prévisionnel'!H7-'Cout de production prévisionnel'!D7</f>
        <v>4850.322580645161</v>
      </c>
      <c r="I8" s="13">
        <f t="shared" si="4"/>
        <v>4898.8258064516131</v>
      </c>
      <c r="J8" s="75">
        <f t="shared" si="5"/>
        <v>4911.7494623655912</v>
      </c>
      <c r="K8" s="4">
        <f t="shared" si="6"/>
        <v>377.82688172043009</v>
      </c>
      <c r="L8" s="75">
        <f t="shared" si="7"/>
        <v>5554.5</v>
      </c>
      <c r="M8" s="249">
        <f>+L8+'Cout de production prévisionnel'!L7-'Cout de production prévisionnel'!H7</f>
        <v>5577.8709677419356</v>
      </c>
      <c r="N8" s="13">
        <f t="shared" si="8"/>
        <v>5633.6496774193547</v>
      </c>
      <c r="O8" s="75">
        <f t="shared" si="9"/>
        <v>5693.8080286738359</v>
      </c>
      <c r="P8" s="4">
        <f t="shared" si="10"/>
        <v>437.98523297491045</v>
      </c>
      <c r="Q8">
        <f t="shared" si="11"/>
        <v>6387.6749999999993</v>
      </c>
      <c r="R8" s="249">
        <f>+Q8+'Cout de production prévisionnel'!P7-'Cout de production prévisionnel'!L7</f>
        <v>6414.5516129032249</v>
      </c>
      <c r="S8" s="13">
        <f t="shared" si="12"/>
        <v>6478.6971290322572</v>
      </c>
      <c r="T8" s="75">
        <f t="shared" si="13"/>
        <v>6544.1045540621262</v>
      </c>
      <c r="U8" s="4">
        <f t="shared" si="14"/>
        <v>503.39265800477892</v>
      </c>
      <c r="V8">
        <f t="shared" si="15"/>
        <v>7345.8262499999983</v>
      </c>
      <c r="W8" s="249">
        <f>+V8+'Cout de production prévisionnel'!T7-'Cout de production prévisionnel'!P7</f>
        <v>7376.734354838708</v>
      </c>
      <c r="X8" s="13">
        <f t="shared" si="16"/>
        <v>7450.5016983870955</v>
      </c>
      <c r="Y8" s="75">
        <f t="shared" si="17"/>
        <v>7526.034793747509</v>
      </c>
      <c r="Z8" s="4">
        <f t="shared" si="18"/>
        <v>578.92575336519303</v>
      </c>
      <c r="AA8">
        <f t="shared" si="19"/>
        <v>7345.8262499999983</v>
      </c>
      <c r="AB8" s="249">
        <f>+AA8+'Cout de production prévisionnel'!X7-'Cout de production prévisionnel'!T7</f>
        <v>7345.8262499999983</v>
      </c>
      <c r="AC8" s="13">
        <f t="shared" si="20"/>
        <v>7419.2845124999985</v>
      </c>
      <c r="AD8" s="75">
        <f t="shared" si="21"/>
        <v>7410.3886557293736</v>
      </c>
      <c r="AE8" s="4">
        <f t="shared" si="22"/>
        <v>570.02989659456716</v>
      </c>
      <c r="AF8">
        <f t="shared" si="23"/>
        <v>7345.8262499999983</v>
      </c>
      <c r="AG8" s="249">
        <f>+AF8+'Cout de production prévisionnel'!AB7-'Cout de production prévisionnel'!X7</f>
        <v>7345.8262499999983</v>
      </c>
      <c r="AH8" s="13">
        <f t="shared" si="24"/>
        <v>7419.2845124999985</v>
      </c>
      <c r="AI8" s="75">
        <f t="shared" si="25"/>
        <v>7420.02583389755</v>
      </c>
      <c r="AJ8" s="4">
        <f t="shared" si="26"/>
        <v>570.7712179921192</v>
      </c>
    </row>
    <row r="9" spans="1:36">
      <c r="A9" s="3" t="s">
        <v>53</v>
      </c>
      <c r="B9" s="75">
        <f>+'Chiffre d''affaire'!F8</f>
        <v>4200</v>
      </c>
      <c r="C9" s="249">
        <f>+B9+'Cout de production prévisionnel'!D8</f>
        <v>4335.4838709677424</v>
      </c>
      <c r="D9" s="13">
        <f t="shared" si="0"/>
        <v>4378.8387096774195</v>
      </c>
      <c r="E9" s="75">
        <f t="shared" si="1"/>
        <v>4743.7419354838712</v>
      </c>
      <c r="F9" s="4">
        <f t="shared" si="2"/>
        <v>364.90322580645164</v>
      </c>
      <c r="G9" s="75">
        <f t="shared" si="3"/>
        <v>4830</v>
      </c>
      <c r="H9" s="249">
        <f>+G9+'Cout de production prévisionnel'!H8-'Cout de production prévisionnel'!D8</f>
        <v>4850.322580645161</v>
      </c>
      <c r="I9" s="13">
        <f t="shared" si="4"/>
        <v>4898.8258064516131</v>
      </c>
      <c r="J9" s="75">
        <f t="shared" si="5"/>
        <v>4911.7494623655912</v>
      </c>
      <c r="K9" s="4">
        <f t="shared" si="6"/>
        <v>377.82688172043009</v>
      </c>
      <c r="L9" s="75">
        <f t="shared" si="7"/>
        <v>5554.5</v>
      </c>
      <c r="M9" s="249">
        <f>+L9+'Cout de production prévisionnel'!L8-'Cout de production prévisionnel'!H8</f>
        <v>5577.8709677419356</v>
      </c>
      <c r="N9" s="13">
        <f t="shared" si="8"/>
        <v>5633.6496774193547</v>
      </c>
      <c r="O9" s="75">
        <f t="shared" si="9"/>
        <v>5693.8080286738359</v>
      </c>
      <c r="P9" s="4">
        <f t="shared" si="10"/>
        <v>437.98523297491045</v>
      </c>
      <c r="Q9">
        <f t="shared" si="11"/>
        <v>6387.6749999999993</v>
      </c>
      <c r="R9" s="249">
        <f>+Q9+'Cout de production prévisionnel'!P8-'Cout de production prévisionnel'!L8</f>
        <v>6414.5516129032249</v>
      </c>
      <c r="S9" s="13">
        <f t="shared" si="12"/>
        <v>6478.6971290322572</v>
      </c>
      <c r="T9" s="75">
        <f t="shared" si="13"/>
        <v>6544.1045540621262</v>
      </c>
      <c r="U9" s="4">
        <f t="shared" si="14"/>
        <v>503.39265800477892</v>
      </c>
      <c r="V9">
        <f t="shared" si="15"/>
        <v>7345.8262499999983</v>
      </c>
      <c r="W9" s="249">
        <f>+V9+'Cout de production prévisionnel'!T8-'Cout de production prévisionnel'!P8</f>
        <v>7376.734354838708</v>
      </c>
      <c r="X9" s="13">
        <f t="shared" si="16"/>
        <v>7450.5016983870955</v>
      </c>
      <c r="Y9" s="75">
        <f t="shared" si="17"/>
        <v>7526.034793747509</v>
      </c>
      <c r="Z9" s="4">
        <f t="shared" si="18"/>
        <v>578.92575336519303</v>
      </c>
      <c r="AA9">
        <f t="shared" si="19"/>
        <v>7345.8262499999983</v>
      </c>
      <c r="AB9" s="249">
        <f>+AA9+'Cout de production prévisionnel'!X8-'Cout de production prévisionnel'!T8</f>
        <v>7345.8262499999983</v>
      </c>
      <c r="AC9" s="13">
        <f t="shared" si="20"/>
        <v>7419.2845124999985</v>
      </c>
      <c r="AD9" s="75">
        <f t="shared" si="21"/>
        <v>7410.3886557293736</v>
      </c>
      <c r="AE9" s="4">
        <f t="shared" si="22"/>
        <v>570.02989659456716</v>
      </c>
      <c r="AF9">
        <f t="shared" si="23"/>
        <v>7345.8262499999983</v>
      </c>
      <c r="AG9" s="249">
        <f>+AF9+'Cout de production prévisionnel'!AB8-'Cout de production prévisionnel'!X8</f>
        <v>7345.8262499999983</v>
      </c>
      <c r="AH9" s="13">
        <f t="shared" si="24"/>
        <v>7419.2845124999985</v>
      </c>
      <c r="AI9" s="75">
        <f t="shared" si="25"/>
        <v>7420.02583389755</v>
      </c>
      <c r="AJ9" s="4">
        <f t="shared" si="26"/>
        <v>570.7712179921192</v>
      </c>
    </row>
    <row r="10" spans="1:36">
      <c r="A10" s="3" t="s">
        <v>93</v>
      </c>
      <c r="B10" s="75">
        <f>+'Chiffre d''affaire'!F9</f>
        <v>4200</v>
      </c>
      <c r="C10" s="249">
        <f>+B10+'Cout de production prévisionnel'!D9</f>
        <v>4335.4838709677424</v>
      </c>
      <c r="D10" s="13">
        <f t="shared" si="0"/>
        <v>4378.8387096774195</v>
      </c>
      <c r="E10" s="75">
        <f t="shared" si="1"/>
        <v>4743.7419354838712</v>
      </c>
      <c r="F10" s="4">
        <f t="shared" si="2"/>
        <v>364.90322580645164</v>
      </c>
      <c r="G10" s="75">
        <f t="shared" si="3"/>
        <v>4830</v>
      </c>
      <c r="H10" s="249">
        <f>+G10+'Cout de production prévisionnel'!H9-'Cout de production prévisionnel'!D9</f>
        <v>4850.322580645161</v>
      </c>
      <c r="I10" s="13">
        <f t="shared" si="4"/>
        <v>4898.8258064516131</v>
      </c>
      <c r="J10" s="75">
        <f t="shared" si="5"/>
        <v>4911.7494623655912</v>
      </c>
      <c r="K10" s="4">
        <f t="shared" si="6"/>
        <v>377.82688172043009</v>
      </c>
      <c r="L10" s="75">
        <f t="shared" si="7"/>
        <v>5554.5</v>
      </c>
      <c r="M10" s="249">
        <f>+L10+'Cout de production prévisionnel'!L9-'Cout de production prévisionnel'!H9</f>
        <v>5577.8709677419356</v>
      </c>
      <c r="N10" s="13">
        <f t="shared" si="8"/>
        <v>5633.6496774193547</v>
      </c>
      <c r="O10" s="75">
        <f t="shared" si="9"/>
        <v>5693.8080286738359</v>
      </c>
      <c r="P10" s="4">
        <f t="shared" si="10"/>
        <v>437.98523297491045</v>
      </c>
      <c r="Q10">
        <f t="shared" si="11"/>
        <v>6387.6749999999993</v>
      </c>
      <c r="R10" s="249">
        <f>+Q10+'Cout de production prévisionnel'!P9-'Cout de production prévisionnel'!L9</f>
        <v>6414.5516129032249</v>
      </c>
      <c r="S10" s="13">
        <f t="shared" si="12"/>
        <v>6478.6971290322572</v>
      </c>
      <c r="T10" s="75">
        <f t="shared" si="13"/>
        <v>6544.1045540621262</v>
      </c>
      <c r="U10" s="4">
        <f t="shared" si="14"/>
        <v>503.39265800477892</v>
      </c>
      <c r="V10">
        <f t="shared" si="15"/>
        <v>7345.8262499999983</v>
      </c>
      <c r="W10" s="249">
        <f>+V10+'Cout de production prévisionnel'!T9-'Cout de production prévisionnel'!P9</f>
        <v>7376.734354838708</v>
      </c>
      <c r="X10" s="13">
        <f t="shared" si="16"/>
        <v>7450.5016983870955</v>
      </c>
      <c r="Y10" s="75">
        <f t="shared" si="17"/>
        <v>7526.034793747509</v>
      </c>
      <c r="Z10" s="4">
        <f t="shared" si="18"/>
        <v>578.92575336519303</v>
      </c>
      <c r="AA10">
        <f t="shared" si="19"/>
        <v>7345.8262499999983</v>
      </c>
      <c r="AB10" s="249">
        <f>+AA10+'Cout de production prévisionnel'!X9-'Cout de production prévisionnel'!T9</f>
        <v>7345.8262499999983</v>
      </c>
      <c r="AC10" s="13">
        <f t="shared" si="20"/>
        <v>7419.2845124999985</v>
      </c>
      <c r="AD10" s="75">
        <f t="shared" si="21"/>
        <v>7410.3886557293736</v>
      </c>
      <c r="AE10" s="4">
        <f t="shared" si="22"/>
        <v>570.02989659456716</v>
      </c>
      <c r="AF10">
        <f t="shared" si="23"/>
        <v>7345.8262499999983</v>
      </c>
      <c r="AG10" s="249">
        <f>+AF10+'Cout de production prévisionnel'!AB9-'Cout de production prévisionnel'!X9</f>
        <v>7345.8262499999983</v>
      </c>
      <c r="AH10" s="13">
        <f t="shared" si="24"/>
        <v>7419.2845124999985</v>
      </c>
      <c r="AI10" s="75">
        <f t="shared" si="25"/>
        <v>7420.02583389755</v>
      </c>
      <c r="AJ10" s="4">
        <f t="shared" si="26"/>
        <v>570.7712179921192</v>
      </c>
    </row>
    <row r="11" spans="1:36" ht="15.75" thickBot="1">
      <c r="B11" s="51">
        <f>SUM(B4:B10)</f>
        <v>129120</v>
      </c>
      <c r="C11" s="51">
        <f>SUM(C4:C10)</f>
        <v>133285.16129032258</v>
      </c>
      <c r="D11" s="51">
        <f>SUM(D4:D10)</f>
        <v>134618.01290322581</v>
      </c>
      <c r="E11" s="51">
        <f t="shared" ref="E11:Z11" si="27">SUM(E4:E10)</f>
        <v>145836.18064516131</v>
      </c>
      <c r="F11" s="51">
        <f>SUM(F4:F10)</f>
        <v>11218.16774193548</v>
      </c>
      <c r="G11" s="51">
        <f t="shared" si="27"/>
        <v>148488</v>
      </c>
      <c r="H11" s="51">
        <f>SUM(H4:H10)</f>
        <v>149112.77419354836</v>
      </c>
      <c r="I11" s="51">
        <f t="shared" si="27"/>
        <v>150603.90193548388</v>
      </c>
      <c r="J11" s="51">
        <f>SUM(J4:J10)</f>
        <v>151001.21204301072</v>
      </c>
      <c r="K11" s="51">
        <f>SUM(K4:K10)</f>
        <v>11615.477849462366</v>
      </c>
      <c r="L11" s="51">
        <f>SUM(L4:L10)</f>
        <v>170761.19999999998</v>
      </c>
      <c r="M11" s="51">
        <f t="shared" si="27"/>
        <v>171479.69032258063</v>
      </c>
      <c r="N11" s="51">
        <f t="shared" si="27"/>
        <v>173194.48722580646</v>
      </c>
      <c r="O11" s="51">
        <f t="shared" si="27"/>
        <v>175043.92682437273</v>
      </c>
      <c r="P11" s="51">
        <f t="shared" si="27"/>
        <v>13464.917448028669</v>
      </c>
      <c r="Q11" s="51">
        <f t="shared" si="27"/>
        <v>196375.37999999992</v>
      </c>
      <c r="R11" s="51">
        <f t="shared" si="27"/>
        <v>197201.64387096767</v>
      </c>
      <c r="S11" s="51">
        <f t="shared" si="27"/>
        <v>199173.66030967739</v>
      </c>
      <c r="T11" s="51">
        <f t="shared" si="27"/>
        <v>201184.4714334528</v>
      </c>
      <c r="U11" s="51">
        <f t="shared" si="27"/>
        <v>15475.728571804062</v>
      </c>
      <c r="V11" s="51">
        <f>SUM(V4:V10)</f>
        <v>225831.68699999992</v>
      </c>
      <c r="W11" s="51">
        <f t="shared" si="27"/>
        <v>226781.89045161282</v>
      </c>
      <c r="X11" s="51">
        <f t="shared" si="27"/>
        <v>229049.70935612894</v>
      </c>
      <c r="Y11" s="51">
        <f t="shared" si="27"/>
        <v>231371.81251635196</v>
      </c>
      <c r="Z11" s="51">
        <f t="shared" si="27"/>
        <v>17797.83173202708</v>
      </c>
      <c r="AA11" s="51">
        <f>SUM(AA4:AA10)</f>
        <v>225831.68699999992</v>
      </c>
      <c r="AB11" s="51">
        <f t="shared" ref="AB11:AE11" si="28">SUM(AB4:AB10)</f>
        <v>225831.68699999986</v>
      </c>
      <c r="AC11" s="51">
        <f t="shared" si="28"/>
        <v>228090.0038699999</v>
      </c>
      <c r="AD11" s="51">
        <f t="shared" si="28"/>
        <v>227816.51981613721</v>
      </c>
      <c r="AE11" s="51">
        <f t="shared" si="28"/>
        <v>17524.347678164402</v>
      </c>
      <c r="AF11" s="51">
        <f>SUM(AF4:AF10)</f>
        <v>225831.68699999992</v>
      </c>
      <c r="AG11" s="51">
        <f t="shared" ref="AG11:AJ11" si="29">SUM(AG4:AG10)</f>
        <v>225831.68699999986</v>
      </c>
      <c r="AH11" s="51">
        <f t="shared" si="29"/>
        <v>228090.0038699999</v>
      </c>
      <c r="AI11" s="51">
        <f t="shared" si="29"/>
        <v>228112.79420782189</v>
      </c>
      <c r="AJ11" s="51">
        <f t="shared" si="29"/>
        <v>17547.138015986297</v>
      </c>
    </row>
    <row r="12" spans="1:36">
      <c r="C12" s="249"/>
      <c r="G12" s="313">
        <f>+H11+'Cout de production prévisionnel'!D10-'Cout de production prévisionnel'!H10</f>
        <v>148487.99999999997</v>
      </c>
    </row>
    <row r="13" spans="1:36" s="251" customFormat="1">
      <c r="A13" s="20" t="s">
        <v>386</v>
      </c>
      <c r="F13" s="252">
        <f>+E11-D11-F11</f>
        <v>1.6370904631912708E-11</v>
      </c>
      <c r="K13" s="252">
        <f>+J11-I11+F11-K11</f>
        <v>-5.0931703299283981E-11</v>
      </c>
      <c r="P13" s="252">
        <f>+O11-N11+K11-P11</f>
        <v>-3.2741809263825417E-11</v>
      </c>
      <c r="U13" s="252">
        <f>+T11-S11+P11-U11</f>
        <v>0</v>
      </c>
      <c r="Z13" s="252">
        <f>+Y11-X11+U11-Z11</f>
        <v>0</v>
      </c>
      <c r="AE13" s="252">
        <f>+AD11-AC11+Z11-AE11</f>
        <v>0</v>
      </c>
      <c r="AJ13" s="252">
        <f>+AI11-AH11+AE11-AJ11</f>
        <v>9.822542779147625E-11</v>
      </c>
    </row>
    <row r="14" spans="1:36" s="251" customFormat="1">
      <c r="A14" s="20" t="s">
        <v>387</v>
      </c>
      <c r="H14" s="252"/>
      <c r="I14" s="253">
        <f>+(I11-D11)/D11</f>
        <v>0.11875000000000004</v>
      </c>
      <c r="J14" s="253"/>
      <c r="K14" s="253"/>
      <c r="L14" s="253"/>
      <c r="M14" s="253"/>
      <c r="N14" s="253">
        <f>+(N11-I11)/I11</f>
        <v>0.14999999999999994</v>
      </c>
      <c r="O14" s="253"/>
      <c r="P14" s="253"/>
      <c r="Q14" s="253"/>
      <c r="R14" s="253"/>
      <c r="S14" s="253">
        <f>+(S11-N11)/N11</f>
        <v>0.1499999999999998</v>
      </c>
      <c r="T14" s="253"/>
      <c r="U14" s="253"/>
      <c r="V14" s="253"/>
      <c r="W14" s="253"/>
      <c r="X14" s="253">
        <f>+(X11-S11)/S11</f>
        <v>0.14999999999999969</v>
      </c>
      <c r="Y14" s="253"/>
      <c r="Z14" s="253"/>
      <c r="AC14" s="253">
        <f>+(AC11-X11)/X11</f>
        <v>-4.1899441340782391E-3</v>
      </c>
      <c r="AG14" s="253"/>
      <c r="AH14" s="253">
        <f>+(AH11-AC11)/AC11</f>
        <v>0</v>
      </c>
    </row>
    <row r="15" spans="1:36" s="251" customFormat="1">
      <c r="A15" s="20" t="s">
        <v>388</v>
      </c>
      <c r="G15" s="253">
        <f>+(G11-B11)/B11</f>
        <v>0.15</v>
      </c>
      <c r="L15" s="253">
        <f>+(L11-G11)/G11</f>
        <v>0.14999999999999988</v>
      </c>
      <c r="Q15" s="253">
        <f>+(Q11-L11)/L11</f>
        <v>0.14999999999999963</v>
      </c>
      <c r="V15" s="253">
        <f>+(V11-Q11)/Q11</f>
        <v>0.15000000000000008</v>
      </c>
    </row>
    <row r="17" spans="1:22">
      <c r="A17" s="15" t="s">
        <v>390</v>
      </c>
      <c r="B17" s="469">
        <v>2016</v>
      </c>
      <c r="C17" s="469"/>
      <c r="D17" s="469"/>
      <c r="E17" s="470">
        <v>2017</v>
      </c>
      <c r="F17" s="470"/>
      <c r="G17" s="470"/>
      <c r="H17" s="471">
        <v>2018</v>
      </c>
      <c r="I17" s="471"/>
      <c r="J17" s="471"/>
      <c r="K17" s="472">
        <v>2019</v>
      </c>
      <c r="L17" s="472"/>
      <c r="M17" s="472"/>
      <c r="N17" s="473">
        <v>2020</v>
      </c>
      <c r="O17" s="473"/>
      <c r="P17" s="473"/>
      <c r="Q17" s="473">
        <v>2021</v>
      </c>
      <c r="R17" s="473"/>
      <c r="S17" s="473"/>
      <c r="T17" s="473">
        <v>2022</v>
      </c>
      <c r="U17" s="473"/>
      <c r="V17" s="473"/>
    </row>
    <row r="18" spans="1:22" ht="15.75" thickBot="1">
      <c r="A18" s="50"/>
      <c r="B18" s="50" t="s">
        <v>382</v>
      </c>
      <c r="C18" s="50" t="s">
        <v>385</v>
      </c>
      <c r="D18" s="50" t="s">
        <v>384</v>
      </c>
      <c r="E18" s="50" t="s">
        <v>382</v>
      </c>
      <c r="F18" s="50" t="s">
        <v>385</v>
      </c>
      <c r="G18" s="50" t="s">
        <v>384</v>
      </c>
      <c r="H18" s="50" t="s">
        <v>382</v>
      </c>
      <c r="I18" s="50" t="s">
        <v>385</v>
      </c>
      <c r="J18" s="50" t="s">
        <v>384</v>
      </c>
      <c r="K18" s="50" t="s">
        <v>382</v>
      </c>
      <c r="L18" s="50" t="s">
        <v>385</v>
      </c>
      <c r="M18" s="50" t="s">
        <v>384</v>
      </c>
      <c r="N18" s="50" t="s">
        <v>382</v>
      </c>
      <c r="O18" s="50" t="s">
        <v>385</v>
      </c>
      <c r="P18" s="50" t="s">
        <v>384</v>
      </c>
      <c r="Q18" s="50" t="s">
        <v>382</v>
      </c>
      <c r="R18" s="50" t="s">
        <v>385</v>
      </c>
      <c r="S18" s="50" t="s">
        <v>384</v>
      </c>
      <c r="T18" s="50" t="s">
        <v>382</v>
      </c>
      <c r="U18" s="50" t="s">
        <v>385</v>
      </c>
      <c r="V18" s="50" t="s">
        <v>384</v>
      </c>
    </row>
    <row r="19" spans="1:22">
      <c r="A19" s="3" t="s">
        <v>54</v>
      </c>
      <c r="B19" s="11">
        <f>+C4*0.06</f>
        <v>2318.8645161290324</v>
      </c>
      <c r="C19" s="11">
        <f>+B19*13/12</f>
        <v>2512.103225806452</v>
      </c>
      <c r="D19" s="11">
        <f>+C19/13</f>
        <v>193.23870967741939</v>
      </c>
      <c r="E19" s="11">
        <f>+H4*0.06</f>
        <v>2594.2296774193551</v>
      </c>
      <c r="F19" s="11">
        <f>+(E19-D19)*13/12</f>
        <v>2601.0735483870967</v>
      </c>
      <c r="G19" s="11">
        <f>+F19/13</f>
        <v>200.08258064516127</v>
      </c>
      <c r="H19" s="11">
        <f>+M4*0.06</f>
        <v>2983.3641290322576</v>
      </c>
      <c r="I19" s="11">
        <f>+(H19-G19)*13/12</f>
        <v>3015.2216774193544</v>
      </c>
      <c r="J19" s="11">
        <f>+I19/13</f>
        <v>231.94012903225803</v>
      </c>
      <c r="K19" s="11">
        <f>+R4*0.06</f>
        <v>3430.8687483870963</v>
      </c>
      <c r="L19" s="11">
        <f>+(K19-J19)*13/12</f>
        <v>3465.5060043010749</v>
      </c>
      <c r="M19" s="11">
        <f>+L19/13</f>
        <v>266.57738494623652</v>
      </c>
      <c r="N19" s="11">
        <f>+W4*0.06</f>
        <v>3945.4990606451602</v>
      </c>
      <c r="O19" s="11">
        <f>+(N19-M19)*13/12</f>
        <v>3985.4984820071672</v>
      </c>
      <c r="P19" s="11">
        <f>+O19/13</f>
        <v>306.57680630824365</v>
      </c>
      <c r="Q19" s="11">
        <f>+AB4*0.06</f>
        <v>3928.9676399999985</v>
      </c>
      <c r="R19" s="11">
        <f>+(Q19-P19)*13/12</f>
        <v>3924.2567364994011</v>
      </c>
      <c r="S19" s="11">
        <f>+R19/13</f>
        <v>301.86590280764625</v>
      </c>
      <c r="T19" s="11">
        <f>+AG4*0.06</f>
        <v>3928.9676399999985</v>
      </c>
      <c r="U19" s="11">
        <f>+(T19-S19)*13/12</f>
        <v>3929.3602152917151</v>
      </c>
      <c r="V19" s="11">
        <f>+U19/13</f>
        <v>302.25847809936272</v>
      </c>
    </row>
    <row r="20" spans="1:22">
      <c r="A20" s="3" t="s">
        <v>22</v>
      </c>
      <c r="B20" s="11">
        <f t="shared" ref="B20:B25" si="30">+C5*0.06</f>
        <v>2318.8645161290324</v>
      </c>
      <c r="C20" s="11">
        <f t="shared" ref="C20:C25" si="31">+B20*13/12</f>
        <v>2512.103225806452</v>
      </c>
      <c r="D20" s="11">
        <f t="shared" ref="D20:D25" si="32">+C20/13</f>
        <v>193.23870967741939</v>
      </c>
      <c r="E20" s="11">
        <f t="shared" ref="E20:E25" si="33">+H5*0.06</f>
        <v>2594.2296774193551</v>
      </c>
      <c r="F20" s="11">
        <f t="shared" ref="F20:F25" si="34">+(E20-D20)*13/12</f>
        <v>2601.0735483870967</v>
      </c>
      <c r="G20" s="11">
        <f t="shared" ref="G20:G25" si="35">+F20/13</f>
        <v>200.08258064516127</v>
      </c>
      <c r="H20" s="11">
        <f t="shared" ref="H20:H25" si="36">+M5*0.06</f>
        <v>2983.3641290322576</v>
      </c>
      <c r="I20" s="11">
        <f t="shared" ref="I20:I25" si="37">+(H20-G20)*13/12</f>
        <v>3015.2216774193544</v>
      </c>
      <c r="J20" s="11">
        <f t="shared" ref="J20:J25" si="38">+I20/13</f>
        <v>231.94012903225803</v>
      </c>
      <c r="K20" s="11">
        <f t="shared" ref="K20:K25" si="39">+R5*0.06</f>
        <v>3430.8687483870963</v>
      </c>
      <c r="L20" s="11">
        <f t="shared" ref="L20:L25" si="40">+(K20-J20)*13/12</f>
        <v>3465.5060043010749</v>
      </c>
      <c r="M20" s="11">
        <f t="shared" ref="M20:M25" si="41">+L20/13</f>
        <v>266.57738494623652</v>
      </c>
      <c r="N20" s="11">
        <f t="shared" ref="N20:N25" si="42">+W5*0.06</f>
        <v>3945.4990606451602</v>
      </c>
      <c r="O20" s="11">
        <f t="shared" ref="O20:O25" si="43">+(N20-M20)*13/12</f>
        <v>3985.4984820071672</v>
      </c>
      <c r="P20" s="11">
        <f t="shared" ref="P20:P25" si="44">+O20/13</f>
        <v>306.57680630824365</v>
      </c>
      <c r="Q20" s="11">
        <f t="shared" ref="Q20:Q25" si="45">+AB5*0.06</f>
        <v>3928.9676399999985</v>
      </c>
      <c r="R20" s="11">
        <f t="shared" ref="R20:R25" si="46">+(Q20-P20)*13/12</f>
        <v>3924.2567364994011</v>
      </c>
      <c r="S20" s="11">
        <f t="shared" ref="S20:S25" si="47">+R20/13</f>
        <v>301.86590280764625</v>
      </c>
      <c r="T20" s="11">
        <f t="shared" ref="T20:T25" si="48">+AG5*0.06</f>
        <v>3928.9676399999985</v>
      </c>
      <c r="U20" s="11">
        <f t="shared" ref="U20:U25" si="49">+(T20-S20)*13/12</f>
        <v>3929.3602152917151</v>
      </c>
      <c r="V20" s="11">
        <f t="shared" ref="V20:V25" si="50">+U20/13</f>
        <v>302.25847809936272</v>
      </c>
    </row>
    <row r="21" spans="1:22">
      <c r="A21" s="3" t="s">
        <v>17</v>
      </c>
      <c r="B21" s="11">
        <f t="shared" si="30"/>
        <v>2318.8645161290324</v>
      </c>
      <c r="C21" s="11">
        <f t="shared" si="31"/>
        <v>2512.103225806452</v>
      </c>
      <c r="D21" s="11">
        <f t="shared" si="32"/>
        <v>193.23870967741939</v>
      </c>
      <c r="E21" s="11">
        <f t="shared" si="33"/>
        <v>2594.2296774193551</v>
      </c>
      <c r="F21" s="11">
        <f t="shared" si="34"/>
        <v>2601.0735483870967</v>
      </c>
      <c r="G21" s="11">
        <f t="shared" si="35"/>
        <v>200.08258064516127</v>
      </c>
      <c r="H21" s="11">
        <f t="shared" si="36"/>
        <v>2983.3641290322576</v>
      </c>
      <c r="I21" s="11">
        <f t="shared" si="37"/>
        <v>3015.2216774193544</v>
      </c>
      <c r="J21" s="11">
        <f t="shared" si="38"/>
        <v>231.94012903225803</v>
      </c>
      <c r="K21" s="11">
        <f t="shared" si="39"/>
        <v>3430.8687483870963</v>
      </c>
      <c r="L21" s="11">
        <f t="shared" si="40"/>
        <v>3465.5060043010749</v>
      </c>
      <c r="M21" s="11">
        <f t="shared" si="41"/>
        <v>266.57738494623652</v>
      </c>
      <c r="N21" s="11">
        <f t="shared" si="42"/>
        <v>3945.4990606451602</v>
      </c>
      <c r="O21" s="11">
        <f t="shared" si="43"/>
        <v>3985.4984820071672</v>
      </c>
      <c r="P21" s="11">
        <f t="shared" si="44"/>
        <v>306.57680630824365</v>
      </c>
      <c r="Q21" s="11">
        <f t="shared" si="45"/>
        <v>3928.9676399999985</v>
      </c>
      <c r="R21" s="11">
        <f t="shared" si="46"/>
        <v>3924.2567364994011</v>
      </c>
      <c r="S21" s="11">
        <f t="shared" si="47"/>
        <v>301.86590280764625</v>
      </c>
      <c r="T21" s="11">
        <f t="shared" si="48"/>
        <v>3928.9676399999985</v>
      </c>
      <c r="U21" s="11">
        <f t="shared" si="49"/>
        <v>3929.3602152917151</v>
      </c>
      <c r="V21" s="11">
        <f t="shared" si="50"/>
        <v>302.25847809936272</v>
      </c>
    </row>
    <row r="22" spans="1:22">
      <c r="A22" s="3" t="s">
        <v>55</v>
      </c>
      <c r="B22" s="11">
        <f t="shared" si="30"/>
        <v>260.12903225806451</v>
      </c>
      <c r="C22" s="11">
        <f t="shared" si="31"/>
        <v>281.80645161290323</v>
      </c>
      <c r="D22" s="11">
        <f t="shared" si="32"/>
        <v>21.677419354838712</v>
      </c>
      <c r="E22" s="11">
        <f t="shared" si="33"/>
        <v>291.01935483870966</v>
      </c>
      <c r="F22" s="11">
        <f t="shared" si="34"/>
        <v>291.78709677419351</v>
      </c>
      <c r="G22" s="11">
        <f t="shared" si="35"/>
        <v>22.445161290322577</v>
      </c>
      <c r="H22" s="11">
        <f t="shared" si="36"/>
        <v>334.67225806451614</v>
      </c>
      <c r="I22" s="11">
        <f t="shared" si="37"/>
        <v>338.24602150537635</v>
      </c>
      <c r="J22" s="11">
        <f t="shared" si="38"/>
        <v>26.018924731182796</v>
      </c>
      <c r="K22" s="11">
        <f t="shared" si="39"/>
        <v>384.87309677419347</v>
      </c>
      <c r="L22" s="11">
        <f t="shared" si="40"/>
        <v>388.75868637992829</v>
      </c>
      <c r="M22" s="11">
        <f t="shared" si="41"/>
        <v>29.904514336917561</v>
      </c>
      <c r="N22" s="11">
        <f t="shared" si="42"/>
        <v>442.60406129032248</v>
      </c>
      <c r="O22" s="11">
        <f t="shared" si="43"/>
        <v>447.09117586618868</v>
      </c>
      <c r="P22" s="11">
        <f t="shared" si="44"/>
        <v>34.391628912783744</v>
      </c>
      <c r="Q22" s="11">
        <f t="shared" si="45"/>
        <v>440.74957499999988</v>
      </c>
      <c r="R22" s="11">
        <f t="shared" si="46"/>
        <v>440.22110826115085</v>
      </c>
      <c r="S22" s="11">
        <f t="shared" si="47"/>
        <v>33.863162173934683</v>
      </c>
      <c r="T22" s="11">
        <f t="shared" si="48"/>
        <v>440.74957499999988</v>
      </c>
      <c r="U22" s="11">
        <f t="shared" si="49"/>
        <v>440.79361389490396</v>
      </c>
      <c r="V22" s="11">
        <f t="shared" si="50"/>
        <v>33.907201068838766</v>
      </c>
    </row>
    <row r="23" spans="1:22">
      <c r="A23" s="3" t="s">
        <v>56</v>
      </c>
      <c r="B23" s="11">
        <f t="shared" si="30"/>
        <v>260.12903225806451</v>
      </c>
      <c r="C23" s="11">
        <f t="shared" si="31"/>
        <v>281.80645161290323</v>
      </c>
      <c r="D23" s="11">
        <f t="shared" si="32"/>
        <v>21.677419354838712</v>
      </c>
      <c r="E23" s="11">
        <f t="shared" si="33"/>
        <v>291.01935483870966</v>
      </c>
      <c r="F23" s="11">
        <f t="shared" si="34"/>
        <v>291.78709677419351</v>
      </c>
      <c r="G23" s="11">
        <f t="shared" si="35"/>
        <v>22.445161290322577</v>
      </c>
      <c r="H23" s="11">
        <f t="shared" si="36"/>
        <v>334.67225806451614</v>
      </c>
      <c r="I23" s="11">
        <f t="shared" si="37"/>
        <v>338.24602150537635</v>
      </c>
      <c r="J23" s="11">
        <f t="shared" si="38"/>
        <v>26.018924731182796</v>
      </c>
      <c r="K23" s="11">
        <f t="shared" si="39"/>
        <v>384.87309677419347</v>
      </c>
      <c r="L23" s="11">
        <f t="shared" si="40"/>
        <v>388.75868637992829</v>
      </c>
      <c r="M23" s="11">
        <f t="shared" si="41"/>
        <v>29.904514336917561</v>
      </c>
      <c r="N23" s="11">
        <f t="shared" si="42"/>
        <v>442.60406129032248</v>
      </c>
      <c r="O23" s="11">
        <f t="shared" si="43"/>
        <v>447.09117586618868</v>
      </c>
      <c r="P23" s="11">
        <f t="shared" si="44"/>
        <v>34.391628912783744</v>
      </c>
      <c r="Q23" s="11">
        <f t="shared" si="45"/>
        <v>440.74957499999988</v>
      </c>
      <c r="R23" s="11">
        <f t="shared" si="46"/>
        <v>440.22110826115085</v>
      </c>
      <c r="S23" s="11">
        <f t="shared" si="47"/>
        <v>33.863162173934683</v>
      </c>
      <c r="T23" s="11">
        <f t="shared" si="48"/>
        <v>440.74957499999988</v>
      </c>
      <c r="U23" s="11">
        <f t="shared" si="49"/>
        <v>440.79361389490396</v>
      </c>
      <c r="V23" s="11">
        <f t="shared" si="50"/>
        <v>33.907201068838766</v>
      </c>
    </row>
    <row r="24" spans="1:22">
      <c r="A24" s="3" t="s">
        <v>57</v>
      </c>
      <c r="B24" s="11">
        <f t="shared" si="30"/>
        <v>260.12903225806451</v>
      </c>
      <c r="C24" s="11">
        <f t="shared" si="31"/>
        <v>281.80645161290323</v>
      </c>
      <c r="D24" s="11">
        <f t="shared" si="32"/>
        <v>21.677419354838712</v>
      </c>
      <c r="E24" s="11">
        <f t="shared" si="33"/>
        <v>291.01935483870966</v>
      </c>
      <c r="F24" s="11">
        <f t="shared" si="34"/>
        <v>291.78709677419351</v>
      </c>
      <c r="G24" s="11">
        <f t="shared" si="35"/>
        <v>22.445161290322577</v>
      </c>
      <c r="H24" s="11">
        <f t="shared" si="36"/>
        <v>334.67225806451614</v>
      </c>
      <c r="I24" s="11">
        <f t="shared" si="37"/>
        <v>338.24602150537635</v>
      </c>
      <c r="J24" s="11">
        <f t="shared" si="38"/>
        <v>26.018924731182796</v>
      </c>
      <c r="K24" s="11">
        <f t="shared" si="39"/>
        <v>384.87309677419347</v>
      </c>
      <c r="L24" s="11">
        <f t="shared" si="40"/>
        <v>388.75868637992829</v>
      </c>
      <c r="M24" s="11">
        <f t="shared" si="41"/>
        <v>29.904514336917561</v>
      </c>
      <c r="N24" s="11">
        <f t="shared" si="42"/>
        <v>442.60406129032248</v>
      </c>
      <c r="O24" s="11">
        <f t="shared" si="43"/>
        <v>447.09117586618868</v>
      </c>
      <c r="P24" s="11">
        <f t="shared" si="44"/>
        <v>34.391628912783744</v>
      </c>
      <c r="Q24" s="11">
        <f t="shared" si="45"/>
        <v>440.74957499999988</v>
      </c>
      <c r="R24" s="11">
        <f t="shared" si="46"/>
        <v>440.22110826115085</v>
      </c>
      <c r="S24" s="11">
        <f t="shared" si="47"/>
        <v>33.863162173934683</v>
      </c>
      <c r="T24" s="11">
        <f t="shared" si="48"/>
        <v>440.74957499999988</v>
      </c>
      <c r="U24" s="11">
        <f t="shared" si="49"/>
        <v>440.79361389490396</v>
      </c>
      <c r="V24" s="11">
        <f t="shared" si="50"/>
        <v>33.907201068838766</v>
      </c>
    </row>
    <row r="25" spans="1:22">
      <c r="A25" s="3" t="s">
        <v>23</v>
      </c>
      <c r="B25" s="11">
        <f t="shared" si="30"/>
        <v>260.12903225806451</v>
      </c>
      <c r="C25" s="11">
        <f t="shared" si="31"/>
        <v>281.80645161290323</v>
      </c>
      <c r="D25" s="11">
        <f t="shared" si="32"/>
        <v>21.677419354838712</v>
      </c>
      <c r="E25" s="11">
        <f t="shared" si="33"/>
        <v>291.01935483870966</v>
      </c>
      <c r="F25" s="11">
        <f t="shared" si="34"/>
        <v>291.78709677419351</v>
      </c>
      <c r="G25" s="11">
        <f t="shared" si="35"/>
        <v>22.445161290322577</v>
      </c>
      <c r="H25" s="11">
        <f t="shared" si="36"/>
        <v>334.67225806451614</v>
      </c>
      <c r="I25" s="11">
        <f t="shared" si="37"/>
        <v>338.24602150537635</v>
      </c>
      <c r="J25" s="11">
        <f t="shared" si="38"/>
        <v>26.018924731182796</v>
      </c>
      <c r="K25" s="11">
        <f t="shared" si="39"/>
        <v>384.87309677419347</v>
      </c>
      <c r="L25" s="11">
        <f t="shared" si="40"/>
        <v>388.75868637992829</v>
      </c>
      <c r="M25" s="11">
        <f t="shared" si="41"/>
        <v>29.904514336917561</v>
      </c>
      <c r="N25" s="11">
        <f t="shared" si="42"/>
        <v>442.60406129032248</v>
      </c>
      <c r="O25" s="11">
        <f t="shared" si="43"/>
        <v>447.09117586618868</v>
      </c>
      <c r="P25" s="11">
        <f t="shared" si="44"/>
        <v>34.391628912783744</v>
      </c>
      <c r="Q25" s="11">
        <f t="shared" si="45"/>
        <v>440.74957499999988</v>
      </c>
      <c r="R25" s="11">
        <f t="shared" si="46"/>
        <v>440.22110826115085</v>
      </c>
      <c r="S25" s="11">
        <f t="shared" si="47"/>
        <v>33.863162173934683</v>
      </c>
      <c r="T25" s="11">
        <f t="shared" si="48"/>
        <v>440.74957499999988</v>
      </c>
      <c r="U25" s="11">
        <f t="shared" si="49"/>
        <v>440.79361389490396</v>
      </c>
      <c r="V25" s="11">
        <f t="shared" si="50"/>
        <v>33.907201068838766</v>
      </c>
    </row>
    <row r="26" spans="1:22">
      <c r="A26" s="52" t="s">
        <v>58</v>
      </c>
      <c r="B26" s="190">
        <f>SUM(B19:B25)</f>
        <v>7997.1096774193547</v>
      </c>
      <c r="C26" s="190">
        <f t="shared" ref="C26:D26" si="51">SUM(C19:C25)</f>
        <v>8663.53548387097</v>
      </c>
      <c r="D26" s="190">
        <f t="shared" si="51"/>
        <v>666.42580645161286</v>
      </c>
      <c r="E26" s="190">
        <f>SUM(E19:E25)</f>
        <v>8946.7664516129043</v>
      </c>
      <c r="F26" s="190">
        <f t="shared" ref="F26" si="52">SUM(F19:F25)</f>
        <v>8970.3690322580624</v>
      </c>
      <c r="G26" s="190">
        <f t="shared" ref="G26" si="53">SUM(G19:G25)</f>
        <v>690.0283870967744</v>
      </c>
      <c r="H26" s="190">
        <f>SUM(H19:H25)</f>
        <v>10288.781419354838</v>
      </c>
      <c r="I26" s="190">
        <f t="shared" ref="I26" si="54">SUM(I19:I25)</f>
        <v>10398.649118279567</v>
      </c>
      <c r="J26" s="190">
        <f t="shared" ref="J26" si="55">SUM(J19:J25)</f>
        <v>799.8960860215052</v>
      </c>
      <c r="K26" s="190">
        <f>SUM(K19:K25)</f>
        <v>11832.098632258065</v>
      </c>
      <c r="L26" s="190">
        <f t="shared" ref="L26" si="56">SUM(L19:L25)</f>
        <v>11951.552758422937</v>
      </c>
      <c r="M26" s="190">
        <f t="shared" ref="M26" si="57">SUM(M19:M25)</f>
        <v>919.35021218637996</v>
      </c>
      <c r="N26" s="190">
        <f>SUM(N19:N25)</f>
        <v>13606.913427096766</v>
      </c>
      <c r="O26" s="190">
        <f t="shared" ref="O26" si="58">SUM(O19:O25)</f>
        <v>13744.86014948626</v>
      </c>
      <c r="P26" s="190">
        <f t="shared" ref="P26" si="59">SUM(P19:P25)</f>
        <v>1057.2969345758659</v>
      </c>
      <c r="Q26" s="190">
        <f>SUM(Q19:Q25)</f>
        <v>13549.901219999994</v>
      </c>
      <c r="R26" s="190">
        <f t="shared" ref="R26:S26" si="60">SUM(R19:R25)</f>
        <v>13533.654642542804</v>
      </c>
      <c r="S26" s="190">
        <f t="shared" si="60"/>
        <v>1041.0503571186775</v>
      </c>
      <c r="T26" s="190">
        <f>SUM(T19:T25)</f>
        <v>13549.901219999994</v>
      </c>
      <c r="U26" s="190">
        <f t="shared" ref="U26:V26" si="61">SUM(U19:U25)</f>
        <v>13551.255101454763</v>
      </c>
      <c r="V26" s="190">
        <f t="shared" si="61"/>
        <v>1042.4042385734431</v>
      </c>
    </row>
    <row r="28" spans="1:22" s="254" customFormat="1">
      <c r="A28" s="15" t="s">
        <v>235</v>
      </c>
      <c r="C28" s="255"/>
      <c r="D28" s="205">
        <f>+(B26-C26+D26)</f>
        <v>-2.3874235921539366E-12</v>
      </c>
      <c r="E28" s="254">
        <f>+(E26-B26)/B26</f>
        <v>0.11875000000000016</v>
      </c>
      <c r="G28" s="205">
        <f>+(E26-F26+G26)-D26</f>
        <v>3.5242919693700969E-12</v>
      </c>
      <c r="H28" s="254">
        <f>+(H26-E26)/E26</f>
        <v>0.14999999999999983</v>
      </c>
      <c r="J28" s="205">
        <f>+(H26-I26+J26)-G26</f>
        <v>2.0463630789890885E-12</v>
      </c>
      <c r="K28" s="254">
        <f>+(K26-H26)/H26</f>
        <v>0.15000000000000005</v>
      </c>
      <c r="M28" s="205">
        <f>+(K26-L26+M26)-J26</f>
        <v>2.8421709430404007E-12</v>
      </c>
      <c r="N28" s="254">
        <f>+(N26-K26)/K26</f>
        <v>0.1499999999999993</v>
      </c>
      <c r="P28" s="205">
        <f>+(N26-O26+P26)-M26</f>
        <v>-7.617018127348274E-12</v>
      </c>
      <c r="Q28" s="254">
        <f>+(Q26-N26)/N26</f>
        <v>-4.1899441340780405E-3</v>
      </c>
      <c r="S28" s="205">
        <f>+(Q26-R26+S26)-P26</f>
        <v>1.8189894035458565E-12</v>
      </c>
      <c r="T28" s="254">
        <f>+(T26-Q26)/Q26</f>
        <v>0</v>
      </c>
      <c r="V28" s="205">
        <f>+(T26-U26+V26)-S26</f>
        <v>-2.7284841053187847E-12</v>
      </c>
    </row>
    <row r="30" spans="1:22">
      <c r="A30" s="3" t="s">
        <v>50</v>
      </c>
      <c r="B30" s="469">
        <v>2016</v>
      </c>
      <c r="C30" s="469"/>
      <c r="D30" s="469"/>
      <c r="E30" s="470">
        <v>2017</v>
      </c>
      <c r="F30" s="470"/>
      <c r="G30" s="470"/>
      <c r="H30" s="471">
        <v>2018</v>
      </c>
      <c r="I30" s="471"/>
      <c r="J30" s="471"/>
      <c r="K30" s="472">
        <v>2019</v>
      </c>
      <c r="L30" s="472"/>
      <c r="M30" s="472"/>
      <c r="N30" s="473">
        <v>2020</v>
      </c>
      <c r="O30" s="473"/>
      <c r="P30" s="473"/>
      <c r="Q30" s="473">
        <v>2021</v>
      </c>
      <c r="R30" s="473"/>
      <c r="S30" s="473"/>
      <c r="T30" s="473">
        <v>2022</v>
      </c>
      <c r="U30" s="473"/>
      <c r="V30" s="473"/>
    </row>
    <row r="31" spans="1:22" ht="15.75" thickBot="1">
      <c r="A31" s="50"/>
      <c r="B31" s="50" t="s">
        <v>382</v>
      </c>
      <c r="C31" s="50" t="s">
        <v>385</v>
      </c>
      <c r="D31" s="50" t="s">
        <v>384</v>
      </c>
      <c r="E31" s="50" t="s">
        <v>382</v>
      </c>
      <c r="F31" s="50" t="s">
        <v>385</v>
      </c>
      <c r="G31" s="50" t="s">
        <v>384</v>
      </c>
      <c r="H31" s="50" t="s">
        <v>382</v>
      </c>
      <c r="I31" s="50" t="s">
        <v>385</v>
      </c>
      <c r="J31" s="50" t="s">
        <v>384</v>
      </c>
      <c r="K31" s="50" t="s">
        <v>382</v>
      </c>
      <c r="L31" s="50" t="s">
        <v>385</v>
      </c>
      <c r="M31" s="50" t="s">
        <v>384</v>
      </c>
      <c r="N31" s="50" t="s">
        <v>382</v>
      </c>
      <c r="O31" s="50" t="s">
        <v>385</v>
      </c>
      <c r="P31" s="50" t="s">
        <v>384</v>
      </c>
      <c r="Q31" s="50" t="s">
        <v>382</v>
      </c>
      <c r="R31" s="50" t="s">
        <v>385</v>
      </c>
      <c r="S31" s="50" t="s">
        <v>384</v>
      </c>
      <c r="T31" s="50" t="s">
        <v>382</v>
      </c>
      <c r="U31" s="50" t="s">
        <v>385</v>
      </c>
      <c r="V31" s="50" t="s">
        <v>384</v>
      </c>
    </row>
    <row r="32" spans="1:22">
      <c r="A32" s="3" t="s">
        <v>54</v>
      </c>
      <c r="B32" s="11">
        <f>+C4*0.05</f>
        <v>1932.3870967741937</v>
      </c>
      <c r="C32" s="11">
        <f>+B32*13/12</f>
        <v>2093.4193548387098</v>
      </c>
      <c r="D32" s="11">
        <f>+C32/13</f>
        <v>161.03225806451613</v>
      </c>
      <c r="E32" s="11">
        <f>+H4*0.05</f>
        <v>2161.8580645161292</v>
      </c>
      <c r="F32" s="11">
        <f>+(E32-D32)*13/12</f>
        <v>2167.5612903225806</v>
      </c>
      <c r="G32" s="11">
        <f>+F32/13</f>
        <v>166.73548387096773</v>
      </c>
      <c r="H32" s="11">
        <f>+M4*0.05</f>
        <v>2486.1367741935483</v>
      </c>
      <c r="I32" s="11">
        <f>+(H32-G32)*13/12</f>
        <v>2512.6847311827955</v>
      </c>
      <c r="J32" s="11">
        <f>+I32/13</f>
        <v>193.28344086021505</v>
      </c>
      <c r="K32" s="11">
        <f>+R4*0.05</f>
        <v>2859.0572903225802</v>
      </c>
      <c r="L32" s="11">
        <f>+(K32-J32)*13/12</f>
        <v>2887.9216702508952</v>
      </c>
      <c r="M32" s="11">
        <f>+L32/13</f>
        <v>222.1478207885304</v>
      </c>
      <c r="N32" s="11">
        <f>+W4*0.05</f>
        <v>3287.9158838709673</v>
      </c>
      <c r="O32" s="11">
        <f>+(N32-M32)*13/12</f>
        <v>3321.2487350059732</v>
      </c>
      <c r="P32" s="11">
        <f>+O32/13</f>
        <v>255.48067192353639</v>
      </c>
      <c r="Q32" s="11">
        <f>+AB4*0.05</f>
        <v>3274.1396999999993</v>
      </c>
      <c r="R32" s="11">
        <f>+(Q32-P32)*13/12</f>
        <v>3270.2139470828351</v>
      </c>
      <c r="S32" s="11">
        <f>+R32/13</f>
        <v>251.55491900637193</v>
      </c>
      <c r="T32" s="11">
        <f>+AG4*0.05</f>
        <v>3274.1396999999993</v>
      </c>
      <c r="U32" s="11">
        <f>+(T32-S32)*13/12</f>
        <v>3274.4668460764296</v>
      </c>
      <c r="V32" s="11">
        <f>+U32/13</f>
        <v>251.88206508280228</v>
      </c>
    </row>
    <row r="33" spans="1:22">
      <c r="A33" s="3" t="s">
        <v>22</v>
      </c>
      <c r="B33" s="11">
        <f t="shared" ref="B33:B38" si="62">+C5*0.05</f>
        <v>1932.3870967741937</v>
      </c>
      <c r="C33" s="11">
        <f t="shared" ref="C33:C38" si="63">+B33*13/12</f>
        <v>2093.4193548387098</v>
      </c>
      <c r="D33" s="11">
        <f t="shared" ref="D33:D38" si="64">+C33/13</f>
        <v>161.03225806451613</v>
      </c>
      <c r="E33" s="11">
        <f t="shared" ref="E33:E38" si="65">+H5*0.05</f>
        <v>2161.8580645161292</v>
      </c>
      <c r="F33" s="11">
        <f t="shared" ref="F33:F38" si="66">+(E33-D33)*13/12</f>
        <v>2167.5612903225806</v>
      </c>
      <c r="G33" s="11">
        <f t="shared" ref="G33:G38" si="67">+F33/13</f>
        <v>166.73548387096773</v>
      </c>
      <c r="H33" s="11">
        <f t="shared" ref="H33:H38" si="68">+M5*0.05</f>
        <v>2486.1367741935483</v>
      </c>
      <c r="I33" s="11">
        <f t="shared" ref="I33:I38" si="69">+(H33-G33)*13/12</f>
        <v>2512.6847311827955</v>
      </c>
      <c r="J33" s="11">
        <f t="shared" ref="J33:J38" si="70">+I33/13</f>
        <v>193.28344086021505</v>
      </c>
      <c r="K33" s="11">
        <f t="shared" ref="K33:K38" si="71">+R5*0.05</f>
        <v>2859.0572903225802</v>
      </c>
      <c r="L33" s="11">
        <f t="shared" ref="L33:L38" si="72">+(K33-J33)*13/12</f>
        <v>2887.9216702508952</v>
      </c>
      <c r="M33" s="11">
        <f t="shared" ref="M33:M38" si="73">+L33/13</f>
        <v>222.1478207885304</v>
      </c>
      <c r="N33" s="11">
        <f t="shared" ref="N33:N38" si="74">+W5*0.05</f>
        <v>3287.9158838709673</v>
      </c>
      <c r="O33" s="11">
        <f t="shared" ref="O33:O38" si="75">+(N33-M33)*13/12</f>
        <v>3321.2487350059732</v>
      </c>
      <c r="P33" s="11">
        <f t="shared" ref="P33:P38" si="76">+O33/13</f>
        <v>255.48067192353639</v>
      </c>
      <c r="Q33" s="11">
        <f t="shared" ref="Q33:Q38" si="77">+AB5*0.05</f>
        <v>3274.1396999999993</v>
      </c>
      <c r="R33" s="11">
        <f t="shared" ref="R33:R38" si="78">+(Q33-P33)*13/12</f>
        <v>3270.2139470828351</v>
      </c>
      <c r="S33" s="11">
        <f t="shared" ref="S33:S38" si="79">+R33/13</f>
        <v>251.55491900637193</v>
      </c>
      <c r="T33" s="11">
        <f t="shared" ref="T33:T38" si="80">+AG5*0.05</f>
        <v>3274.1396999999993</v>
      </c>
      <c r="U33" s="11">
        <f t="shared" ref="U33:U38" si="81">+(T33-S33)*13/12</f>
        <v>3274.4668460764296</v>
      </c>
      <c r="V33" s="11">
        <f t="shared" ref="V33:V38" si="82">+U33/13</f>
        <v>251.88206508280228</v>
      </c>
    </row>
    <row r="34" spans="1:22">
      <c r="A34" s="3" t="s">
        <v>17</v>
      </c>
      <c r="B34" s="11">
        <f t="shared" si="62"/>
        <v>1932.3870967741937</v>
      </c>
      <c r="C34" s="11">
        <f t="shared" si="63"/>
        <v>2093.4193548387098</v>
      </c>
      <c r="D34" s="11">
        <f t="shared" si="64"/>
        <v>161.03225806451613</v>
      </c>
      <c r="E34" s="11">
        <f t="shared" si="65"/>
        <v>2161.8580645161292</v>
      </c>
      <c r="F34" s="11">
        <f t="shared" si="66"/>
        <v>2167.5612903225806</v>
      </c>
      <c r="G34" s="11">
        <f t="shared" si="67"/>
        <v>166.73548387096773</v>
      </c>
      <c r="H34" s="11">
        <f t="shared" si="68"/>
        <v>2486.1367741935483</v>
      </c>
      <c r="I34" s="11">
        <f t="shared" si="69"/>
        <v>2512.6847311827955</v>
      </c>
      <c r="J34" s="11">
        <f t="shared" si="70"/>
        <v>193.28344086021505</v>
      </c>
      <c r="K34" s="11">
        <f t="shared" si="71"/>
        <v>2859.0572903225802</v>
      </c>
      <c r="L34" s="11">
        <f t="shared" si="72"/>
        <v>2887.9216702508952</v>
      </c>
      <c r="M34" s="11">
        <f t="shared" si="73"/>
        <v>222.1478207885304</v>
      </c>
      <c r="N34" s="11">
        <f t="shared" si="74"/>
        <v>3287.9158838709673</v>
      </c>
      <c r="O34" s="11">
        <f t="shared" si="75"/>
        <v>3321.2487350059732</v>
      </c>
      <c r="P34" s="11">
        <f t="shared" si="76"/>
        <v>255.48067192353639</v>
      </c>
      <c r="Q34" s="11">
        <f t="shared" si="77"/>
        <v>3274.1396999999993</v>
      </c>
      <c r="R34" s="11">
        <f t="shared" si="78"/>
        <v>3270.2139470828351</v>
      </c>
      <c r="S34" s="11">
        <f t="shared" si="79"/>
        <v>251.55491900637193</v>
      </c>
      <c r="T34" s="11">
        <f t="shared" si="80"/>
        <v>3274.1396999999993</v>
      </c>
      <c r="U34" s="11">
        <f t="shared" si="81"/>
        <v>3274.4668460764296</v>
      </c>
      <c r="V34" s="11">
        <f t="shared" si="82"/>
        <v>251.88206508280228</v>
      </c>
    </row>
    <row r="35" spans="1:22">
      <c r="A35" s="3" t="s">
        <v>55</v>
      </c>
      <c r="B35" s="11">
        <f t="shared" si="62"/>
        <v>216.77419354838713</v>
      </c>
      <c r="C35" s="11">
        <f t="shared" si="63"/>
        <v>234.83870967741939</v>
      </c>
      <c r="D35" s="11">
        <f t="shared" si="64"/>
        <v>18.06451612903226</v>
      </c>
      <c r="E35" s="11">
        <f t="shared" si="65"/>
        <v>242.51612903225805</v>
      </c>
      <c r="F35" s="11">
        <f t="shared" si="66"/>
        <v>243.1559139784946</v>
      </c>
      <c r="G35" s="11">
        <f t="shared" si="67"/>
        <v>18.704301075268816</v>
      </c>
      <c r="H35" s="11">
        <f t="shared" si="68"/>
        <v>278.89354838709681</v>
      </c>
      <c r="I35" s="11">
        <f t="shared" si="69"/>
        <v>281.87168458781366</v>
      </c>
      <c r="J35" s="11">
        <f t="shared" si="70"/>
        <v>21.682437275985667</v>
      </c>
      <c r="K35" s="11">
        <f t="shared" si="71"/>
        <v>320.72758064516125</v>
      </c>
      <c r="L35" s="11">
        <f t="shared" si="72"/>
        <v>323.96557198327361</v>
      </c>
      <c r="M35" s="11">
        <f t="shared" si="73"/>
        <v>24.920428614097968</v>
      </c>
      <c r="N35" s="11">
        <f t="shared" si="74"/>
        <v>368.83671774193544</v>
      </c>
      <c r="O35" s="11">
        <f t="shared" si="75"/>
        <v>372.57597988849062</v>
      </c>
      <c r="P35" s="11">
        <f t="shared" si="76"/>
        <v>28.659690760653124</v>
      </c>
      <c r="Q35" s="11">
        <f t="shared" si="77"/>
        <v>367.29131249999995</v>
      </c>
      <c r="R35" s="11">
        <f t="shared" si="78"/>
        <v>366.85092355095907</v>
      </c>
      <c r="S35" s="11">
        <f t="shared" si="79"/>
        <v>28.219301811612237</v>
      </c>
      <c r="T35" s="11">
        <f t="shared" si="80"/>
        <v>367.29131249999995</v>
      </c>
      <c r="U35" s="11">
        <f t="shared" si="81"/>
        <v>367.32801157908671</v>
      </c>
      <c r="V35" s="11">
        <f t="shared" si="82"/>
        <v>28.256000890698978</v>
      </c>
    </row>
    <row r="36" spans="1:22">
      <c r="A36" s="3" t="s">
        <v>56</v>
      </c>
      <c r="B36" s="11">
        <f t="shared" si="62"/>
        <v>216.77419354838713</v>
      </c>
      <c r="C36" s="11">
        <f t="shared" si="63"/>
        <v>234.83870967741939</v>
      </c>
      <c r="D36" s="11">
        <f t="shared" si="64"/>
        <v>18.06451612903226</v>
      </c>
      <c r="E36" s="11">
        <f t="shared" si="65"/>
        <v>242.51612903225805</v>
      </c>
      <c r="F36" s="11">
        <f t="shared" si="66"/>
        <v>243.1559139784946</v>
      </c>
      <c r="G36" s="11">
        <f t="shared" si="67"/>
        <v>18.704301075268816</v>
      </c>
      <c r="H36" s="11">
        <f t="shared" si="68"/>
        <v>278.89354838709681</v>
      </c>
      <c r="I36" s="11">
        <f t="shared" si="69"/>
        <v>281.87168458781366</v>
      </c>
      <c r="J36" s="11">
        <f t="shared" si="70"/>
        <v>21.682437275985667</v>
      </c>
      <c r="K36" s="11">
        <f t="shared" si="71"/>
        <v>320.72758064516125</v>
      </c>
      <c r="L36" s="11">
        <f t="shared" si="72"/>
        <v>323.96557198327361</v>
      </c>
      <c r="M36" s="11">
        <f t="shared" si="73"/>
        <v>24.920428614097968</v>
      </c>
      <c r="N36" s="11">
        <f t="shared" si="74"/>
        <v>368.83671774193544</v>
      </c>
      <c r="O36" s="11">
        <f t="shared" si="75"/>
        <v>372.57597988849062</v>
      </c>
      <c r="P36" s="11">
        <f t="shared" si="76"/>
        <v>28.659690760653124</v>
      </c>
      <c r="Q36" s="11">
        <f t="shared" si="77"/>
        <v>367.29131249999995</v>
      </c>
      <c r="R36" s="11">
        <f t="shared" si="78"/>
        <v>366.85092355095907</v>
      </c>
      <c r="S36" s="11">
        <f t="shared" si="79"/>
        <v>28.219301811612237</v>
      </c>
      <c r="T36" s="11">
        <f t="shared" si="80"/>
        <v>367.29131249999995</v>
      </c>
      <c r="U36" s="11">
        <f t="shared" si="81"/>
        <v>367.32801157908671</v>
      </c>
      <c r="V36" s="11">
        <f t="shared" si="82"/>
        <v>28.256000890698978</v>
      </c>
    </row>
    <row r="37" spans="1:22">
      <c r="A37" s="3" t="s">
        <v>57</v>
      </c>
      <c r="B37" s="11">
        <f t="shared" si="62"/>
        <v>216.77419354838713</v>
      </c>
      <c r="C37" s="11">
        <f t="shared" si="63"/>
        <v>234.83870967741939</v>
      </c>
      <c r="D37" s="11">
        <f t="shared" si="64"/>
        <v>18.06451612903226</v>
      </c>
      <c r="E37" s="11">
        <f t="shared" si="65"/>
        <v>242.51612903225805</v>
      </c>
      <c r="F37" s="11">
        <f t="shared" si="66"/>
        <v>243.1559139784946</v>
      </c>
      <c r="G37" s="11">
        <f t="shared" si="67"/>
        <v>18.704301075268816</v>
      </c>
      <c r="H37" s="11">
        <f t="shared" si="68"/>
        <v>278.89354838709681</v>
      </c>
      <c r="I37" s="11">
        <f t="shared" si="69"/>
        <v>281.87168458781366</v>
      </c>
      <c r="J37" s="11">
        <f t="shared" si="70"/>
        <v>21.682437275985667</v>
      </c>
      <c r="K37" s="11">
        <f t="shared" si="71"/>
        <v>320.72758064516125</v>
      </c>
      <c r="L37" s="11">
        <f t="shared" si="72"/>
        <v>323.96557198327361</v>
      </c>
      <c r="M37" s="11">
        <f t="shared" si="73"/>
        <v>24.920428614097968</v>
      </c>
      <c r="N37" s="11">
        <f t="shared" si="74"/>
        <v>368.83671774193544</v>
      </c>
      <c r="O37" s="11">
        <f t="shared" si="75"/>
        <v>372.57597988849062</v>
      </c>
      <c r="P37" s="11">
        <f t="shared" si="76"/>
        <v>28.659690760653124</v>
      </c>
      <c r="Q37" s="11">
        <f>+AB9*0.05</f>
        <v>367.29131249999995</v>
      </c>
      <c r="R37" s="11">
        <f t="shared" si="78"/>
        <v>366.85092355095907</v>
      </c>
      <c r="S37" s="11">
        <f t="shared" si="79"/>
        <v>28.219301811612237</v>
      </c>
      <c r="T37" s="11">
        <f t="shared" si="80"/>
        <v>367.29131249999995</v>
      </c>
      <c r="U37" s="11">
        <f t="shared" si="81"/>
        <v>367.32801157908671</v>
      </c>
      <c r="V37" s="11">
        <f t="shared" si="82"/>
        <v>28.256000890698978</v>
      </c>
    </row>
    <row r="38" spans="1:22">
      <c r="A38" s="3" t="s">
        <v>23</v>
      </c>
      <c r="B38" s="11">
        <f t="shared" si="62"/>
        <v>216.77419354838713</v>
      </c>
      <c r="C38" s="11">
        <f t="shared" si="63"/>
        <v>234.83870967741939</v>
      </c>
      <c r="D38" s="11">
        <f t="shared" si="64"/>
        <v>18.06451612903226</v>
      </c>
      <c r="E38" s="11">
        <f t="shared" si="65"/>
        <v>242.51612903225805</v>
      </c>
      <c r="F38" s="11">
        <f t="shared" si="66"/>
        <v>243.1559139784946</v>
      </c>
      <c r="G38" s="11">
        <f t="shared" si="67"/>
        <v>18.704301075268816</v>
      </c>
      <c r="H38" s="11">
        <f t="shared" si="68"/>
        <v>278.89354838709681</v>
      </c>
      <c r="I38" s="11">
        <f t="shared" si="69"/>
        <v>281.87168458781366</v>
      </c>
      <c r="J38" s="11">
        <f t="shared" si="70"/>
        <v>21.682437275985667</v>
      </c>
      <c r="K38" s="11">
        <f t="shared" si="71"/>
        <v>320.72758064516125</v>
      </c>
      <c r="L38" s="11">
        <f t="shared" si="72"/>
        <v>323.96557198327361</v>
      </c>
      <c r="M38" s="11">
        <f t="shared" si="73"/>
        <v>24.920428614097968</v>
      </c>
      <c r="N38" s="11">
        <f t="shared" si="74"/>
        <v>368.83671774193544</v>
      </c>
      <c r="O38" s="11">
        <f t="shared" si="75"/>
        <v>372.57597988849062</v>
      </c>
      <c r="P38" s="11">
        <f t="shared" si="76"/>
        <v>28.659690760653124</v>
      </c>
      <c r="Q38" s="11">
        <f t="shared" si="77"/>
        <v>367.29131249999995</v>
      </c>
      <c r="R38" s="11">
        <f t="shared" si="78"/>
        <v>366.85092355095907</v>
      </c>
      <c r="S38" s="11">
        <f t="shared" si="79"/>
        <v>28.219301811612237</v>
      </c>
      <c r="T38" s="11">
        <f t="shared" si="80"/>
        <v>367.29131249999995</v>
      </c>
      <c r="U38" s="11">
        <f t="shared" si="81"/>
        <v>367.32801157908671</v>
      </c>
      <c r="V38" s="11">
        <f t="shared" si="82"/>
        <v>28.256000890698978</v>
      </c>
    </row>
    <row r="39" spans="1:22">
      <c r="A39" s="52" t="s">
        <v>58</v>
      </c>
      <c r="B39" s="190">
        <f>SUM(B32:B38)</f>
        <v>6664.2580645161306</v>
      </c>
      <c r="C39" s="190">
        <f t="shared" ref="C39" si="83">SUM(C32:C38)</f>
        <v>7219.6129032258068</v>
      </c>
      <c r="D39" s="190">
        <f t="shared" ref="D39" si="84">SUM(D32:D38)</f>
        <v>555.35483870967755</v>
      </c>
      <c r="E39" s="190">
        <f>SUM(E32:E38)</f>
        <v>7455.6387096774179</v>
      </c>
      <c r="F39" s="190">
        <f t="shared" ref="F39" si="85">SUM(F32:F38)</f>
        <v>7475.3075268817211</v>
      </c>
      <c r="G39" s="190">
        <f t="shared" ref="G39" si="86">SUM(G32:G38)</f>
        <v>575.02365591397859</v>
      </c>
      <c r="H39" s="190">
        <f>SUM(H32:H38)</f>
        <v>8573.9845161290323</v>
      </c>
      <c r="I39" s="190">
        <f t="shared" ref="I39" si="87">SUM(I32:I38)</f>
        <v>8665.5409318996408</v>
      </c>
      <c r="J39" s="190">
        <f t="shared" ref="J39" si="88">SUM(J32:J38)</f>
        <v>666.58007168458778</v>
      </c>
      <c r="K39" s="190">
        <f>SUM(K32:K38)</f>
        <v>9860.0821935483873</v>
      </c>
      <c r="L39" s="190">
        <f t="shared" ref="L39" si="89">SUM(L32:L38)</f>
        <v>9959.6272986857803</v>
      </c>
      <c r="M39" s="190">
        <f t="shared" ref="M39" si="90">SUM(M32:M38)</f>
        <v>766.12517682198313</v>
      </c>
      <c r="N39" s="190">
        <f>SUM(N32:N38)</f>
        <v>11339.094522580643</v>
      </c>
      <c r="O39" s="190">
        <f t="shared" ref="O39" si="91">SUM(O32:O38)</f>
        <v>11454.050124571881</v>
      </c>
      <c r="P39" s="190">
        <f t="shared" ref="P39" si="92">SUM(P32:P38)</f>
        <v>881.08077881322163</v>
      </c>
      <c r="Q39" s="190">
        <f>SUM(Q32:Q38)</f>
        <v>11291.584349999996</v>
      </c>
      <c r="R39" s="190">
        <f t="shared" ref="R39:S39" si="93">SUM(R32:R38)</f>
        <v>11278.045535452342</v>
      </c>
      <c r="S39" s="190">
        <f t="shared" si="93"/>
        <v>867.54196426556473</v>
      </c>
      <c r="T39" s="190">
        <f>SUM(T32:T38)</f>
        <v>11291.584349999996</v>
      </c>
      <c r="U39" s="190">
        <f t="shared" ref="U39:V39" si="94">SUM(U32:U38)</f>
        <v>11292.712584545639</v>
      </c>
      <c r="V39" s="190">
        <f t="shared" si="94"/>
        <v>868.67019881120268</v>
      </c>
    </row>
    <row r="41" spans="1:22">
      <c r="D41" s="199">
        <f>+(B39-C39+D39)</f>
        <v>1.3642420526593924E-12</v>
      </c>
      <c r="E41" s="254">
        <f>+(E39-B39)/B39</f>
        <v>0.11874999999999951</v>
      </c>
      <c r="G41" s="199">
        <f>+(E39-F39+G39)-D39</f>
        <v>-2.1600499167107046E-12</v>
      </c>
      <c r="H41" s="254">
        <f>+(H39-E39)/E39</f>
        <v>0.15000000000000024</v>
      </c>
      <c r="J41" s="199">
        <f>+(H39-I39+J39)-G39</f>
        <v>0</v>
      </c>
      <c r="K41" s="254">
        <f>+(K39-H39)/H39</f>
        <v>0.15000000000000002</v>
      </c>
      <c r="M41" s="199">
        <f>+(K39-L39+M39)-J39</f>
        <v>2.3874235921539366E-12</v>
      </c>
      <c r="N41" s="254">
        <f>+(N39-K39)/K39</f>
        <v>0.14999999999999972</v>
      </c>
      <c r="O41" s="199"/>
      <c r="P41" s="199">
        <f>+(N39-O39+P39)-M39</f>
        <v>0</v>
      </c>
      <c r="Q41" s="254">
        <f>+(Q39-N39)/N39</f>
        <v>-4.1899441340783865E-3</v>
      </c>
      <c r="R41" s="199"/>
      <c r="S41" s="199">
        <f>+(Q39-R39+S39)-P39</f>
        <v>-3.2969182939268649E-12</v>
      </c>
      <c r="T41" s="254">
        <f>+(T39-Q39)/Q39</f>
        <v>0</v>
      </c>
      <c r="U41" s="199"/>
      <c r="V41" s="199">
        <f>+(T39-U39+V39)-S39</f>
        <v>-5.9117155615240335E-12</v>
      </c>
    </row>
  </sheetData>
  <mergeCells count="21">
    <mergeCell ref="AA2:AE2"/>
    <mergeCell ref="AF2:AJ2"/>
    <mergeCell ref="Q17:S17"/>
    <mergeCell ref="T17:V17"/>
    <mergeCell ref="Q30:S30"/>
    <mergeCell ref="T30:V30"/>
    <mergeCell ref="V2:Z2"/>
    <mergeCell ref="B30:D30"/>
    <mergeCell ref="E30:G30"/>
    <mergeCell ref="H30:J30"/>
    <mergeCell ref="K30:M30"/>
    <mergeCell ref="N30:P30"/>
    <mergeCell ref="B2:F2"/>
    <mergeCell ref="G2:K2"/>
    <mergeCell ref="L2:P2"/>
    <mergeCell ref="Q2:U2"/>
    <mergeCell ref="B17:D17"/>
    <mergeCell ref="E17:G17"/>
    <mergeCell ref="H17:J17"/>
    <mergeCell ref="K17:M17"/>
    <mergeCell ref="N17:P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J98"/>
  <sheetViews>
    <sheetView topLeftCell="A32" workbookViewId="0">
      <selection activeCell="C43" sqref="C43"/>
    </sheetView>
  </sheetViews>
  <sheetFormatPr baseColWidth="10" defaultRowHeight="12"/>
  <cols>
    <col min="1" max="1" width="12.85546875" style="3" customWidth="1"/>
    <col min="2" max="2" width="16.42578125" style="3" bestFit="1" customWidth="1"/>
    <col min="3" max="9" width="12.28515625" style="3" bestFit="1" customWidth="1"/>
    <col min="10" max="10" width="9" style="3" bestFit="1" customWidth="1"/>
    <col min="11" max="11" width="11.42578125" style="3" bestFit="1" customWidth="1"/>
    <col min="12" max="12" width="9.140625" style="3" bestFit="1" customWidth="1"/>
    <col min="13" max="13" width="11.42578125" style="3" bestFit="1" customWidth="1"/>
    <col min="14" max="15" width="10.5703125" style="3" bestFit="1" customWidth="1"/>
    <col min="16" max="17" width="11.42578125" style="3" bestFit="1" customWidth="1"/>
    <col min="18" max="18" width="10.42578125" style="3" bestFit="1" customWidth="1"/>
    <col min="19" max="19" width="11.42578125" style="3" bestFit="1" customWidth="1"/>
    <col min="20" max="20" width="10.5703125" style="3" bestFit="1" customWidth="1"/>
    <col min="21" max="21" width="11.42578125" style="3" bestFit="1" customWidth="1"/>
    <col min="22" max="22" width="10.5703125" style="3" bestFit="1" customWidth="1"/>
    <col min="23" max="23" width="11.42578125" style="3" bestFit="1" customWidth="1"/>
    <col min="24" max="25" width="10.5703125" style="3" bestFit="1" customWidth="1"/>
    <col min="26" max="26" width="11.42578125" style="3" bestFit="1" customWidth="1"/>
    <col min="27" max="16384" width="11.42578125" style="3"/>
  </cols>
  <sheetData>
    <row r="1" spans="1:36">
      <c r="B1" s="465">
        <v>2016</v>
      </c>
      <c r="C1" s="465"/>
      <c r="D1" s="465"/>
      <c r="E1" s="465"/>
      <c r="F1" s="465"/>
      <c r="G1" s="475">
        <v>2017</v>
      </c>
      <c r="H1" s="475"/>
      <c r="I1" s="475"/>
      <c r="J1" s="475"/>
      <c r="K1" s="475"/>
      <c r="L1" s="467">
        <v>2018</v>
      </c>
      <c r="M1" s="467"/>
      <c r="N1" s="467"/>
      <c r="O1" s="467"/>
      <c r="P1" s="467"/>
      <c r="Q1" s="476">
        <v>2019</v>
      </c>
      <c r="R1" s="476"/>
      <c r="S1" s="476"/>
      <c r="T1" s="476"/>
      <c r="U1" s="476"/>
      <c r="V1" s="475">
        <v>2020</v>
      </c>
      <c r="W1" s="475"/>
      <c r="X1" s="475"/>
      <c r="Y1" s="475"/>
      <c r="Z1" s="475"/>
      <c r="AA1" s="475">
        <v>2021</v>
      </c>
      <c r="AB1" s="475"/>
      <c r="AC1" s="475"/>
      <c r="AD1" s="475"/>
      <c r="AE1" s="475"/>
      <c r="AF1" s="475">
        <v>2022</v>
      </c>
      <c r="AG1" s="475"/>
      <c r="AH1" s="475"/>
      <c r="AI1" s="475"/>
      <c r="AJ1" s="475"/>
    </row>
    <row r="2" spans="1:36" ht="12.75" thickBot="1">
      <c r="A2" s="50"/>
      <c r="B2" s="51" t="s">
        <v>373</v>
      </c>
      <c r="C2" s="50" t="s">
        <v>13</v>
      </c>
      <c r="D2" s="50" t="s">
        <v>119</v>
      </c>
      <c r="E2" s="50" t="s">
        <v>116</v>
      </c>
      <c r="F2" s="50" t="s">
        <v>117</v>
      </c>
      <c r="G2" s="51" t="s">
        <v>118</v>
      </c>
      <c r="H2" s="50" t="s">
        <v>13</v>
      </c>
      <c r="I2" s="50" t="s">
        <v>119</v>
      </c>
      <c r="J2" s="50" t="s">
        <v>116</v>
      </c>
      <c r="K2" s="50" t="s">
        <v>117</v>
      </c>
      <c r="L2" s="51" t="s">
        <v>118</v>
      </c>
      <c r="M2" s="50" t="s">
        <v>13</v>
      </c>
      <c r="N2" s="50" t="s">
        <v>119</v>
      </c>
      <c r="O2" s="50" t="s">
        <v>116</v>
      </c>
      <c r="P2" s="50" t="s">
        <v>117</v>
      </c>
      <c r="Q2" s="51" t="s">
        <v>118</v>
      </c>
      <c r="R2" s="50" t="s">
        <v>13</v>
      </c>
      <c r="S2" s="50" t="s">
        <v>119</v>
      </c>
      <c r="T2" s="50" t="s">
        <v>116</v>
      </c>
      <c r="U2" s="50" t="s">
        <v>117</v>
      </c>
      <c r="V2" s="51" t="s">
        <v>118</v>
      </c>
      <c r="W2" s="50" t="s">
        <v>13</v>
      </c>
      <c r="X2" s="50" t="s">
        <v>119</v>
      </c>
      <c r="Y2" s="50" t="s">
        <v>116</v>
      </c>
      <c r="Z2" s="50" t="s">
        <v>117</v>
      </c>
      <c r="AA2" s="51" t="s">
        <v>118</v>
      </c>
      <c r="AB2" s="50" t="s">
        <v>13</v>
      </c>
      <c r="AC2" s="50" t="s">
        <v>119</v>
      </c>
      <c r="AD2" s="50" t="s">
        <v>116</v>
      </c>
      <c r="AE2" s="50" t="s">
        <v>117</v>
      </c>
      <c r="AF2" s="51" t="s">
        <v>118</v>
      </c>
      <c r="AG2" s="50" t="s">
        <v>13</v>
      </c>
      <c r="AH2" s="50" t="s">
        <v>119</v>
      </c>
      <c r="AI2" s="50" t="s">
        <v>116</v>
      </c>
      <c r="AJ2" s="50" t="s">
        <v>117</v>
      </c>
    </row>
    <row r="3" spans="1:36">
      <c r="A3" s="3" t="s">
        <v>15</v>
      </c>
      <c r="B3" s="75">
        <f>+'Consommations Q'!E4</f>
        <v>42287.070967741929</v>
      </c>
      <c r="C3" s="115">
        <f>+Données!B28</f>
        <v>2.8</v>
      </c>
      <c r="D3" s="13">
        <f>+B3*C3</f>
        <v>118403.79870967739</v>
      </c>
      <c r="E3" s="75">
        <f>+'Consommations Q'!F4</f>
        <v>3252.8516129032255</v>
      </c>
      <c r="F3" s="4">
        <f>+C3*E3</f>
        <v>9107.9845161290305</v>
      </c>
      <c r="G3" s="75">
        <f>+'Consommations Q'!J4</f>
        <v>43784.738064516132</v>
      </c>
      <c r="H3" s="4">
        <f>+$C$3</f>
        <v>2.8</v>
      </c>
      <c r="I3" s="4">
        <f>+G3*H3</f>
        <v>122597.26658064516</v>
      </c>
      <c r="J3" s="75">
        <f>+'Consommations Q'!K4</f>
        <v>3368.0567741935488</v>
      </c>
      <c r="K3" s="4">
        <f>+H3*J3</f>
        <v>9430.5589677419357</v>
      </c>
      <c r="L3" s="75">
        <f>+'Consommations Q'!O4</f>
        <v>50756.231569892458</v>
      </c>
      <c r="M3" s="4">
        <f>+$C$3</f>
        <v>2.8</v>
      </c>
      <c r="N3" s="4">
        <f>+L3*M3</f>
        <v>142117.44839569888</v>
      </c>
      <c r="O3" s="75">
        <f>+'Consommations Q'!P4</f>
        <v>3904.3255053763428</v>
      </c>
      <c r="P3" s="4">
        <f>+O3*M3</f>
        <v>10932.11141505376</v>
      </c>
      <c r="Q3" s="75">
        <f>+'Consommations Q'!T4</f>
        <v>58336.017739068098</v>
      </c>
      <c r="R3" s="4">
        <f>+$C$3</f>
        <v>2.8</v>
      </c>
      <c r="S3" s="4">
        <f>+Q3*R3</f>
        <v>163340.84966939068</v>
      </c>
      <c r="T3" s="75">
        <f>+'Consommations Q'!U4</f>
        <v>4487.3859799283155</v>
      </c>
      <c r="U3" s="4">
        <f>+T3*R3</f>
        <v>12564.680743799283</v>
      </c>
      <c r="V3" s="75">
        <f>+'Consommations Q'!Y4</f>
        <v>67089.22444712065</v>
      </c>
      <c r="W3" s="4">
        <f>+$C$3</f>
        <v>2.8</v>
      </c>
      <c r="X3" s="4">
        <f>+V3*W3</f>
        <v>187849.82845193782</v>
      </c>
      <c r="Y3" s="75">
        <f>+'Consommations Q'!Z4</f>
        <v>5160.709572855435</v>
      </c>
      <c r="Z3" s="4">
        <f>+Y3*W3</f>
        <v>14449.986803995216</v>
      </c>
      <c r="AA3" s="75">
        <f>+'Consommations Q'!AD4</f>
        <v>66058.321731073258</v>
      </c>
      <c r="AB3" s="4">
        <f>+$C$3</f>
        <v>2.8</v>
      </c>
      <c r="AC3" s="4">
        <f>+AA3*AB3</f>
        <v>184963.3008470051</v>
      </c>
      <c r="AD3" s="75">
        <f>+'Consommations Q'!AE4</f>
        <v>5081.4093639287121</v>
      </c>
      <c r="AE3" s="4">
        <f>+AD3*AB3</f>
        <v>14227.946219000392</v>
      </c>
      <c r="AF3" s="75">
        <f>+'Consommations Q'!AI4</f>
        <v>66144.230290743886</v>
      </c>
      <c r="AG3" s="4">
        <f>+$C$3</f>
        <v>2.8</v>
      </c>
      <c r="AH3" s="4">
        <f>+AF3*AG3</f>
        <v>185203.84481408287</v>
      </c>
      <c r="AI3" s="75">
        <f>+'Consommations Q'!AJ4</f>
        <v>5088.0177146726064</v>
      </c>
      <c r="AJ3" s="4">
        <f>+AI3*AG3</f>
        <v>14246.449601083297</v>
      </c>
    </row>
    <row r="4" spans="1:36">
      <c r="A4" s="3" t="s">
        <v>16</v>
      </c>
      <c r="B4" s="75">
        <f>+'Consommations Q'!E5</f>
        <v>42287.070967741929</v>
      </c>
      <c r="C4" s="4">
        <f>+Données!B29</f>
        <v>5.0999999999999996</v>
      </c>
      <c r="D4" s="13">
        <f t="shared" ref="D4:D9" si="0">+B4*C4</f>
        <v>215664.06193548383</v>
      </c>
      <c r="E4" s="75">
        <f>+'Consommations Q'!F5</f>
        <v>3252.8516129032255</v>
      </c>
      <c r="F4" s="4">
        <f t="shared" ref="F4:F9" si="1">+C4*E4</f>
        <v>16589.54322580645</v>
      </c>
      <c r="G4" s="75">
        <f>+'Consommations Q'!J5</f>
        <v>43784.738064516132</v>
      </c>
      <c r="H4" s="4">
        <f>+$C$4</f>
        <v>5.0999999999999996</v>
      </c>
      <c r="I4" s="4">
        <f t="shared" ref="I4:I7" si="2">+G4*H4</f>
        <v>223302.16412903226</v>
      </c>
      <c r="J4" s="75">
        <f>+'Consommations Q'!K5</f>
        <v>3368.0567741935488</v>
      </c>
      <c r="K4" s="4">
        <f t="shared" ref="K4:K9" si="3">+H4*J4</f>
        <v>17177.089548387099</v>
      </c>
      <c r="L4" s="75">
        <f>+'Consommations Q'!O5</f>
        <v>50756.231569892458</v>
      </c>
      <c r="M4" s="4">
        <f>+$C$4</f>
        <v>5.0999999999999996</v>
      </c>
      <c r="N4" s="4">
        <f t="shared" ref="N4:N9" si="4">+L4*M4</f>
        <v>258856.78100645152</v>
      </c>
      <c r="O4" s="75">
        <f>+'Consommations Q'!P5</f>
        <v>3904.3255053763428</v>
      </c>
      <c r="P4" s="4">
        <f t="shared" ref="P4:P8" si="5">+O4*M4</f>
        <v>19912.060077419348</v>
      </c>
      <c r="Q4" s="75">
        <f>+'Consommations Q'!T5</f>
        <v>58336.017739068098</v>
      </c>
      <c r="R4" s="4">
        <f>+$C$4</f>
        <v>5.0999999999999996</v>
      </c>
      <c r="S4" s="4">
        <f t="shared" ref="S4:S9" si="6">+Q4*R4</f>
        <v>297513.69046924729</v>
      </c>
      <c r="T4" s="75">
        <f>+'Consommations Q'!U5</f>
        <v>4487.3859799283155</v>
      </c>
      <c r="U4" s="4">
        <f t="shared" ref="U4:U9" si="7">+T4*R4</f>
        <v>22885.668497634408</v>
      </c>
      <c r="V4" s="75">
        <f>+'Consommations Q'!Y5</f>
        <v>67089.22444712065</v>
      </c>
      <c r="W4" s="4">
        <f>+$C$4</f>
        <v>5.0999999999999996</v>
      </c>
      <c r="X4" s="4">
        <f t="shared" ref="X4:X9" si="8">+V4*W4</f>
        <v>342155.0446803153</v>
      </c>
      <c r="Y4" s="75">
        <f>+'Consommations Q'!Z5</f>
        <v>5160.709572855435</v>
      </c>
      <c r="Z4" s="4">
        <f t="shared" ref="Z4:Z9" si="9">+Y4*W4</f>
        <v>26319.618821562715</v>
      </c>
      <c r="AA4" s="75">
        <f>+'Consommations Q'!AD5</f>
        <v>66058.321731073258</v>
      </c>
      <c r="AB4" s="4">
        <f>+$C$4</f>
        <v>5.0999999999999996</v>
      </c>
      <c r="AC4" s="4">
        <f t="shared" ref="AC4:AC9" si="10">+AA4*AB4</f>
        <v>336897.4408284736</v>
      </c>
      <c r="AD4" s="75">
        <f>+'Consommations Q'!AE5</f>
        <v>5081.4093639287121</v>
      </c>
      <c r="AE4" s="4">
        <f t="shared" ref="AE4:AE9" si="11">+AD4*AB4</f>
        <v>25915.18775603643</v>
      </c>
      <c r="AF4" s="75">
        <f>+'Consommations Q'!AI5</f>
        <v>66144.230290743886</v>
      </c>
      <c r="AG4" s="4">
        <f>+$C$4</f>
        <v>5.0999999999999996</v>
      </c>
      <c r="AH4" s="4">
        <f t="shared" ref="AH4:AH9" si="12">+AF4*AG4</f>
        <v>337335.5744827938</v>
      </c>
      <c r="AI4" s="75">
        <f>+'Consommations Q'!AJ5</f>
        <v>5088.0177146726064</v>
      </c>
      <c r="AJ4" s="4">
        <f t="shared" ref="AJ4:AJ9" si="13">+AI4*AG4</f>
        <v>25948.890344830292</v>
      </c>
    </row>
    <row r="5" spans="1:36">
      <c r="A5" s="3" t="s">
        <v>17</v>
      </c>
      <c r="B5" s="75">
        <f>+'Consommations Q'!E6</f>
        <v>42287.070967741929</v>
      </c>
      <c r="C5" s="115">
        <f>+Données!B30</f>
        <v>3.8</v>
      </c>
      <c r="D5" s="13">
        <f t="shared" si="0"/>
        <v>160690.86967741931</v>
      </c>
      <c r="E5" s="75">
        <f>+'Consommations Q'!F6</f>
        <v>3252.8516129032255</v>
      </c>
      <c r="F5" s="4">
        <f t="shared" si="1"/>
        <v>12360.836129032255</v>
      </c>
      <c r="G5" s="75">
        <f>+'Consommations Q'!J6</f>
        <v>43784.738064516132</v>
      </c>
      <c r="H5" s="4">
        <f>+$C$5</f>
        <v>3.8</v>
      </c>
      <c r="I5" s="4">
        <f t="shared" si="2"/>
        <v>166382.0046451613</v>
      </c>
      <c r="J5" s="75">
        <f>+'Consommations Q'!K6</f>
        <v>3368.0567741935488</v>
      </c>
      <c r="K5" s="4">
        <f t="shared" si="3"/>
        <v>12798.615741935484</v>
      </c>
      <c r="L5" s="75">
        <f>+'Consommations Q'!O6</f>
        <v>50756.231569892458</v>
      </c>
      <c r="M5" s="4">
        <f>+$C$5</f>
        <v>3.8</v>
      </c>
      <c r="N5" s="4">
        <f t="shared" si="4"/>
        <v>192873.67996559132</v>
      </c>
      <c r="O5" s="75">
        <f>+'Consommations Q'!P6</f>
        <v>3904.3255053763428</v>
      </c>
      <c r="P5" s="4">
        <f t="shared" si="5"/>
        <v>14836.436920430102</v>
      </c>
      <c r="Q5" s="75">
        <f>+'Consommations Q'!T6</f>
        <v>58336.017739068098</v>
      </c>
      <c r="R5" s="4">
        <f>+$C$5</f>
        <v>3.8</v>
      </c>
      <c r="S5" s="4">
        <f t="shared" si="6"/>
        <v>221676.86740845875</v>
      </c>
      <c r="T5" s="75">
        <f>+'Consommations Q'!U6</f>
        <v>4487.3859799283155</v>
      </c>
      <c r="U5" s="4">
        <f t="shared" si="7"/>
        <v>17052.066723727599</v>
      </c>
      <c r="V5" s="75">
        <f>+'Consommations Q'!Y6</f>
        <v>67089.22444712065</v>
      </c>
      <c r="W5" s="4">
        <f>+$C$5</f>
        <v>3.8</v>
      </c>
      <c r="X5" s="4">
        <f t="shared" si="8"/>
        <v>254939.05289905847</v>
      </c>
      <c r="Y5" s="75">
        <f>+'Consommations Q'!Z6</f>
        <v>5160.709572855435</v>
      </c>
      <c r="Z5" s="4">
        <f t="shared" si="9"/>
        <v>19610.69637685065</v>
      </c>
      <c r="AA5" s="75">
        <f>+'Consommations Q'!AD6</f>
        <v>66058.321731073258</v>
      </c>
      <c r="AB5" s="4">
        <f>+$C$5</f>
        <v>3.8</v>
      </c>
      <c r="AC5" s="4">
        <f t="shared" si="10"/>
        <v>251021.62257807836</v>
      </c>
      <c r="AD5" s="75">
        <f>+'Consommations Q'!AE6</f>
        <v>5081.4093639287121</v>
      </c>
      <c r="AE5" s="4">
        <f t="shared" si="11"/>
        <v>19309.355582929104</v>
      </c>
      <c r="AF5" s="75">
        <f>+'Consommations Q'!AI6</f>
        <v>66144.230290743886</v>
      </c>
      <c r="AG5" s="4">
        <f>+$C$5</f>
        <v>3.8</v>
      </c>
      <c r="AH5" s="4">
        <f t="shared" si="12"/>
        <v>251348.07510482674</v>
      </c>
      <c r="AI5" s="75">
        <f>+'Consommations Q'!AJ6</f>
        <v>5088.0177146726064</v>
      </c>
      <c r="AJ5" s="4">
        <f t="shared" si="13"/>
        <v>19334.467315755905</v>
      </c>
    </row>
    <row r="6" spans="1:36">
      <c r="A6" s="3" t="s">
        <v>51</v>
      </c>
      <c r="B6" s="75">
        <f>+'Consommations Q'!E7</f>
        <v>4743.7419354838712</v>
      </c>
      <c r="C6" s="4">
        <f>+Données!B34</f>
        <v>24</v>
      </c>
      <c r="D6" s="13">
        <f t="shared" si="0"/>
        <v>113849.80645161291</v>
      </c>
      <c r="E6" s="75">
        <f>+'Consommations Q'!F7</f>
        <v>364.90322580645164</v>
      </c>
      <c r="F6" s="4">
        <f t="shared" si="1"/>
        <v>8757.677419354839</v>
      </c>
      <c r="G6" s="75">
        <f>+'Consommations Q'!J7</f>
        <v>4911.7494623655912</v>
      </c>
      <c r="H6" s="4">
        <f>+$C$6</f>
        <v>24</v>
      </c>
      <c r="I6" s="4">
        <f t="shared" si="2"/>
        <v>117881.98709677419</v>
      </c>
      <c r="J6" s="75">
        <f>+'Consommations Q'!K7</f>
        <v>377.82688172043009</v>
      </c>
      <c r="K6" s="4">
        <f t="shared" si="3"/>
        <v>9067.8451612903227</v>
      </c>
      <c r="L6" s="75">
        <f>+'Consommations Q'!O7</f>
        <v>5693.8080286738359</v>
      </c>
      <c r="M6" s="4">
        <f>+$C$6</f>
        <v>24</v>
      </c>
      <c r="N6" s="4">
        <f t="shared" si="4"/>
        <v>136651.39268817205</v>
      </c>
      <c r="O6" s="75">
        <f>+'Consommations Q'!P7</f>
        <v>437.98523297491045</v>
      </c>
      <c r="P6" s="4">
        <f t="shared" si="5"/>
        <v>10511.64559139785</v>
      </c>
      <c r="Q6" s="75">
        <f>+'Consommations Q'!T7</f>
        <v>6544.1045540621262</v>
      </c>
      <c r="R6" s="4">
        <f>+$C$6</f>
        <v>24</v>
      </c>
      <c r="S6" s="4">
        <f t="shared" si="6"/>
        <v>157058.50929749102</v>
      </c>
      <c r="T6" s="75">
        <f>+'Consommations Q'!U7</f>
        <v>503.39265800477892</v>
      </c>
      <c r="U6" s="4">
        <f t="shared" si="7"/>
        <v>12081.423792114694</v>
      </c>
      <c r="V6" s="75">
        <f>+'Consommations Q'!Y7</f>
        <v>7526.034793747509</v>
      </c>
      <c r="W6" s="4">
        <f>+$C$6</f>
        <v>24</v>
      </c>
      <c r="X6" s="4">
        <f t="shared" si="8"/>
        <v>180624.83504994021</v>
      </c>
      <c r="Y6" s="75">
        <f>+'Consommations Q'!Z7</f>
        <v>578.92575336519303</v>
      </c>
      <c r="Z6" s="4">
        <f t="shared" si="9"/>
        <v>13894.218080764633</v>
      </c>
      <c r="AA6" s="75">
        <f>+'Consommations Q'!AD7</f>
        <v>7410.3886557293736</v>
      </c>
      <c r="AB6" s="4">
        <f>+$C$6</f>
        <v>24</v>
      </c>
      <c r="AC6" s="4">
        <f t="shared" si="10"/>
        <v>177849.32773750497</v>
      </c>
      <c r="AD6" s="75">
        <f>+'Consommations Q'!AE7</f>
        <v>570.02989659456716</v>
      </c>
      <c r="AE6" s="4">
        <f t="shared" si="11"/>
        <v>13680.717518269612</v>
      </c>
      <c r="AF6" s="75">
        <f>+'Consommations Q'!AI7</f>
        <v>7420.02583389755</v>
      </c>
      <c r="AG6" s="4">
        <f>+$C$6</f>
        <v>24</v>
      </c>
      <c r="AH6" s="4">
        <f t="shared" si="12"/>
        <v>178080.62001354119</v>
      </c>
      <c r="AI6" s="75">
        <f>+'Consommations Q'!AJ7</f>
        <v>570.7712179921192</v>
      </c>
      <c r="AJ6" s="4">
        <f t="shared" si="13"/>
        <v>13698.509231810862</v>
      </c>
    </row>
    <row r="7" spans="1:36">
      <c r="A7" s="3" t="s">
        <v>52</v>
      </c>
      <c r="B7" s="75">
        <f>+'Consommations Q'!E8</f>
        <v>4743.7419354838712</v>
      </c>
      <c r="C7" s="4">
        <f>+Données!B33</f>
        <v>24</v>
      </c>
      <c r="D7" s="13">
        <f t="shared" si="0"/>
        <v>113849.80645161291</v>
      </c>
      <c r="E7" s="75">
        <f>+'Consommations Q'!F8</f>
        <v>364.90322580645164</v>
      </c>
      <c r="F7" s="4">
        <f t="shared" si="1"/>
        <v>8757.677419354839</v>
      </c>
      <c r="G7" s="75">
        <f>+'Consommations Q'!J8</f>
        <v>4911.7494623655912</v>
      </c>
      <c r="H7" s="4">
        <f>+$C$7</f>
        <v>24</v>
      </c>
      <c r="I7" s="4">
        <f t="shared" si="2"/>
        <v>117881.98709677419</v>
      </c>
      <c r="J7" s="75">
        <f>+'Consommations Q'!K8</f>
        <v>377.82688172043009</v>
      </c>
      <c r="K7" s="4">
        <f t="shared" si="3"/>
        <v>9067.8451612903227</v>
      </c>
      <c r="L7" s="75">
        <f>+'Consommations Q'!O8</f>
        <v>5693.8080286738359</v>
      </c>
      <c r="M7" s="4">
        <f>+$C$7</f>
        <v>24</v>
      </c>
      <c r="N7" s="4">
        <f t="shared" si="4"/>
        <v>136651.39268817205</v>
      </c>
      <c r="O7" s="75">
        <f>+'Consommations Q'!P8</f>
        <v>437.98523297491045</v>
      </c>
      <c r="P7" s="4">
        <f t="shared" si="5"/>
        <v>10511.64559139785</v>
      </c>
      <c r="Q7" s="75">
        <f>+'Consommations Q'!T8</f>
        <v>6544.1045540621262</v>
      </c>
      <c r="R7" s="4">
        <f>+$C$7</f>
        <v>24</v>
      </c>
      <c r="S7" s="4">
        <f t="shared" si="6"/>
        <v>157058.50929749102</v>
      </c>
      <c r="T7" s="75">
        <f>+'Consommations Q'!U8</f>
        <v>503.39265800477892</v>
      </c>
      <c r="U7" s="4">
        <f t="shared" si="7"/>
        <v>12081.423792114694</v>
      </c>
      <c r="V7" s="75">
        <f>+'Consommations Q'!Y8</f>
        <v>7526.034793747509</v>
      </c>
      <c r="W7" s="4">
        <f>+$C$7</f>
        <v>24</v>
      </c>
      <c r="X7" s="4">
        <f t="shared" si="8"/>
        <v>180624.83504994021</v>
      </c>
      <c r="Y7" s="75">
        <f>+'Consommations Q'!Z8</f>
        <v>578.92575336519303</v>
      </c>
      <c r="Z7" s="4">
        <f t="shared" si="9"/>
        <v>13894.218080764633</v>
      </c>
      <c r="AA7" s="75">
        <f>+'Consommations Q'!AD8</f>
        <v>7410.3886557293736</v>
      </c>
      <c r="AB7" s="4">
        <f>+$C$7</f>
        <v>24</v>
      </c>
      <c r="AC7" s="4">
        <f t="shared" si="10"/>
        <v>177849.32773750497</v>
      </c>
      <c r="AD7" s="75">
        <f>+'Consommations Q'!AE8</f>
        <v>570.02989659456716</v>
      </c>
      <c r="AE7" s="4">
        <f t="shared" si="11"/>
        <v>13680.717518269612</v>
      </c>
      <c r="AF7" s="75">
        <f>+'Consommations Q'!AI8</f>
        <v>7420.02583389755</v>
      </c>
      <c r="AG7" s="4">
        <f>+$C$7</f>
        <v>24</v>
      </c>
      <c r="AH7" s="4">
        <f t="shared" si="12"/>
        <v>178080.62001354119</v>
      </c>
      <c r="AI7" s="75">
        <f>+'Consommations Q'!AJ8</f>
        <v>570.7712179921192</v>
      </c>
      <c r="AJ7" s="4">
        <f t="shared" si="13"/>
        <v>13698.509231810862</v>
      </c>
    </row>
    <row r="8" spans="1:36">
      <c r="A8" s="3" t="s">
        <v>53</v>
      </c>
      <c r="B8" s="75">
        <f>+'Consommations Q'!E9</f>
        <v>4743.7419354838712</v>
      </c>
      <c r="C8" s="4">
        <f>+Données!B32</f>
        <v>22</v>
      </c>
      <c r="D8" s="13">
        <f t="shared" si="0"/>
        <v>104362.32258064517</v>
      </c>
      <c r="E8" s="75">
        <f>+'Consommations Q'!F9</f>
        <v>364.90322580645164</v>
      </c>
      <c r="F8" s="4">
        <f t="shared" si="1"/>
        <v>8027.8709677419365</v>
      </c>
      <c r="G8" s="75">
        <f>+'Consommations Q'!J9</f>
        <v>4911.7494623655912</v>
      </c>
      <c r="H8" s="4">
        <f>+$C$8</f>
        <v>22</v>
      </c>
      <c r="I8" s="4">
        <f>+G8*H8</f>
        <v>108058.488172043</v>
      </c>
      <c r="J8" s="75">
        <f>+'Consommations Q'!K9</f>
        <v>377.82688172043009</v>
      </c>
      <c r="K8" s="4">
        <f t="shared" si="3"/>
        <v>8312.1913978494613</v>
      </c>
      <c r="L8" s="75">
        <f>+'Consommations Q'!O9</f>
        <v>5693.8080286738359</v>
      </c>
      <c r="M8" s="4">
        <f>+$C$8</f>
        <v>22</v>
      </c>
      <c r="N8" s="4">
        <f t="shared" si="4"/>
        <v>125263.77663082439</v>
      </c>
      <c r="O8" s="75">
        <f>+'Consommations Q'!P9</f>
        <v>437.98523297491045</v>
      </c>
      <c r="P8" s="4">
        <f t="shared" si="5"/>
        <v>9635.6751254480296</v>
      </c>
      <c r="Q8" s="75">
        <f>+'Consommations Q'!T9</f>
        <v>6544.1045540621262</v>
      </c>
      <c r="R8" s="4">
        <f>+$C$8</f>
        <v>22</v>
      </c>
      <c r="S8" s="4">
        <f t="shared" si="6"/>
        <v>143970.30018936677</v>
      </c>
      <c r="T8" s="75">
        <f>+'Consommations Q'!U9</f>
        <v>503.39265800477892</v>
      </c>
      <c r="U8" s="4">
        <f t="shared" si="7"/>
        <v>11074.638476105136</v>
      </c>
      <c r="V8" s="75">
        <f>+'Consommations Q'!Y9</f>
        <v>7526.034793747509</v>
      </c>
      <c r="W8" s="4">
        <f>+$C$8</f>
        <v>22</v>
      </c>
      <c r="X8" s="4">
        <f t="shared" si="8"/>
        <v>165572.76546244521</v>
      </c>
      <c r="Y8" s="75">
        <f>+'Consommations Q'!Z9</f>
        <v>578.92575336519303</v>
      </c>
      <c r="Z8" s="4">
        <f t="shared" si="9"/>
        <v>12736.366574034248</v>
      </c>
      <c r="AA8" s="75">
        <f>+'Consommations Q'!AD9</f>
        <v>7410.3886557293736</v>
      </c>
      <c r="AB8" s="4">
        <f>+$C$8</f>
        <v>22</v>
      </c>
      <c r="AC8" s="4">
        <f t="shared" si="10"/>
        <v>163028.55042604622</v>
      </c>
      <c r="AD8" s="75">
        <f>+'Consommations Q'!AE9</f>
        <v>570.02989659456716</v>
      </c>
      <c r="AE8" s="4">
        <f t="shared" si="11"/>
        <v>12540.657725080477</v>
      </c>
      <c r="AF8" s="75">
        <f>+'Consommations Q'!AI9</f>
        <v>7420.02583389755</v>
      </c>
      <c r="AG8" s="4">
        <f>+$C$8</f>
        <v>22</v>
      </c>
      <c r="AH8" s="4">
        <f t="shared" si="12"/>
        <v>163240.56834574611</v>
      </c>
      <c r="AI8" s="75">
        <f>+'Consommations Q'!AJ9</f>
        <v>570.7712179921192</v>
      </c>
      <c r="AJ8" s="4">
        <f t="shared" si="13"/>
        <v>12556.966795826622</v>
      </c>
    </row>
    <row r="9" spans="1:36">
      <c r="A9" s="3" t="s">
        <v>93</v>
      </c>
      <c r="B9" s="75">
        <f>+'Consommations Q'!E10</f>
        <v>4743.7419354838712</v>
      </c>
      <c r="C9" s="4">
        <f>+Données!B31</f>
        <v>25</v>
      </c>
      <c r="D9" s="13">
        <f t="shared" si="0"/>
        <v>118593.54838709679</v>
      </c>
      <c r="E9" s="75">
        <f>+'Consommations Q'!F10</f>
        <v>364.90322580645164</v>
      </c>
      <c r="F9" s="4">
        <f t="shared" si="1"/>
        <v>9122.5806451612916</v>
      </c>
      <c r="G9" s="75">
        <f>+'Consommations Q'!J10</f>
        <v>4911.7494623655912</v>
      </c>
      <c r="H9" s="4">
        <f>+$C$9</f>
        <v>25</v>
      </c>
      <c r="I9" s="4">
        <f>+G9*H9</f>
        <v>122793.73655913978</v>
      </c>
      <c r="J9" s="75">
        <f>+'Consommations Q'!K10</f>
        <v>377.82688172043009</v>
      </c>
      <c r="K9" s="4">
        <f t="shared" si="3"/>
        <v>9445.6720430107525</v>
      </c>
      <c r="L9" s="75">
        <f>+'Consommations Q'!O10</f>
        <v>5693.8080286738359</v>
      </c>
      <c r="M9" s="4">
        <f>+$C$9</f>
        <v>25</v>
      </c>
      <c r="N9" s="4">
        <f t="shared" si="4"/>
        <v>142345.20071684589</v>
      </c>
      <c r="O9" s="75">
        <f>+'Consommations Q'!P10</f>
        <v>437.98523297491045</v>
      </c>
      <c r="P9" s="4">
        <f>+O9*M9</f>
        <v>10949.630824372762</v>
      </c>
      <c r="Q9" s="75">
        <f>+'Consommations Q'!T10</f>
        <v>6544.1045540621262</v>
      </c>
      <c r="R9" s="4">
        <f>+$C$9</f>
        <v>25</v>
      </c>
      <c r="S9" s="4">
        <f t="shared" si="6"/>
        <v>163602.61385155315</v>
      </c>
      <c r="T9" s="75">
        <f>+'Consommations Q'!U10</f>
        <v>503.39265800477892</v>
      </c>
      <c r="U9" s="4">
        <f t="shared" si="7"/>
        <v>12584.816450119473</v>
      </c>
      <c r="V9" s="75">
        <f>+'Consommations Q'!Y10</f>
        <v>7526.034793747509</v>
      </c>
      <c r="W9" s="4">
        <f>+$C$9</f>
        <v>25</v>
      </c>
      <c r="X9" s="4">
        <f t="shared" si="8"/>
        <v>188150.86984368772</v>
      </c>
      <c r="Y9" s="75">
        <f>+'Consommations Q'!Z10</f>
        <v>578.92575336519303</v>
      </c>
      <c r="Z9" s="4">
        <f t="shared" si="9"/>
        <v>14473.143834129825</v>
      </c>
      <c r="AA9" s="75">
        <f>+'Consommations Q'!AD10</f>
        <v>7410.3886557293736</v>
      </c>
      <c r="AB9" s="4">
        <f>+$C$9</f>
        <v>25</v>
      </c>
      <c r="AC9" s="4">
        <f t="shared" si="10"/>
        <v>185259.71639323432</v>
      </c>
      <c r="AD9" s="75">
        <f>+'Consommations Q'!AE10</f>
        <v>570.02989659456716</v>
      </c>
      <c r="AE9" s="4">
        <f t="shared" si="11"/>
        <v>14250.74741486418</v>
      </c>
      <c r="AF9" s="75">
        <f>+'Consommations Q'!AI10</f>
        <v>7420.02583389755</v>
      </c>
      <c r="AG9" s="4">
        <f>+$C$9</f>
        <v>25</v>
      </c>
      <c r="AH9" s="4">
        <f t="shared" si="12"/>
        <v>185500.64584743875</v>
      </c>
      <c r="AI9" s="75">
        <f>+'Consommations Q'!AJ10</f>
        <v>570.7712179921192</v>
      </c>
      <c r="AJ9" s="4">
        <f t="shared" si="13"/>
        <v>14269.28044980298</v>
      </c>
    </row>
    <row r="10" spans="1:36">
      <c r="A10" s="52" t="s">
        <v>59</v>
      </c>
      <c r="B10" s="190">
        <f>SUM(B3:B9)</f>
        <v>145836.18064516131</v>
      </c>
      <c r="C10" s="248">
        <f>SUM(C3:C9)</f>
        <v>106.7</v>
      </c>
      <c r="D10" s="53">
        <f>SUM(D3:D9)</f>
        <v>945414.21419354831</v>
      </c>
      <c r="E10" s="190">
        <f t="shared" ref="E10:Z10" si="14">SUM(E3:E9)</f>
        <v>11218.16774193548</v>
      </c>
      <c r="F10" s="53">
        <f t="shared" si="14"/>
        <v>72724.170322580656</v>
      </c>
      <c r="G10" s="190">
        <f t="shared" si="14"/>
        <v>151001.21204301072</v>
      </c>
      <c r="H10" s="53">
        <f t="shared" si="14"/>
        <v>106.7</v>
      </c>
      <c r="I10" s="53">
        <f t="shared" si="14"/>
        <v>978897.63427956984</v>
      </c>
      <c r="J10" s="190">
        <f t="shared" si="14"/>
        <v>11615.477849462366</v>
      </c>
      <c r="K10" s="53">
        <f t="shared" si="14"/>
        <v>75299.818021505373</v>
      </c>
      <c r="L10" s="190">
        <f t="shared" si="14"/>
        <v>175043.92682437273</v>
      </c>
      <c r="M10" s="53">
        <f t="shared" si="14"/>
        <v>106.7</v>
      </c>
      <c r="N10" s="53">
        <f t="shared" si="14"/>
        <v>1134759.672091756</v>
      </c>
      <c r="O10" s="190">
        <f>SUM(O3:O9)</f>
        <v>13464.917448028669</v>
      </c>
      <c r="P10" s="53">
        <f t="shared" si="14"/>
        <v>87289.205545519711</v>
      </c>
      <c r="Q10" s="190">
        <f t="shared" si="14"/>
        <v>201184.4714334528</v>
      </c>
      <c r="R10" s="53">
        <f t="shared" si="14"/>
        <v>106.7</v>
      </c>
      <c r="S10" s="53">
        <f t="shared" si="14"/>
        <v>1304221.3401829987</v>
      </c>
      <c r="T10" s="190">
        <f t="shared" si="14"/>
        <v>15475.728571804062</v>
      </c>
      <c r="U10" s="53">
        <f t="shared" si="14"/>
        <v>100324.71847561529</v>
      </c>
      <c r="V10" s="190">
        <f t="shared" si="14"/>
        <v>231371.81251635196</v>
      </c>
      <c r="W10" s="53">
        <f t="shared" si="14"/>
        <v>106.7</v>
      </c>
      <c r="X10" s="53">
        <f t="shared" si="14"/>
        <v>1499917.2314373248</v>
      </c>
      <c r="Y10" s="190">
        <f>SUM(Y3:Y9)</f>
        <v>17797.83173202708</v>
      </c>
      <c r="Z10" s="53">
        <f t="shared" si="14"/>
        <v>115378.24857210193</v>
      </c>
      <c r="AA10" s="190">
        <f t="shared" ref="AA10:AC10" si="15">SUM(AA3:AA9)</f>
        <v>227816.51981613721</v>
      </c>
      <c r="AB10" s="53">
        <f t="shared" si="15"/>
        <v>106.7</v>
      </c>
      <c r="AC10" s="53">
        <f t="shared" si="15"/>
        <v>1476869.2865478476</v>
      </c>
      <c r="AD10" s="190">
        <f>SUM(AD3:AD9)</f>
        <v>17524.347678164402</v>
      </c>
      <c r="AE10" s="53">
        <f t="shared" ref="AE10:AH10" si="16">SUM(AE3:AE9)</f>
        <v>113605.32973444978</v>
      </c>
      <c r="AF10" s="190">
        <f t="shared" si="16"/>
        <v>228112.79420782189</v>
      </c>
      <c r="AG10" s="53">
        <f t="shared" si="16"/>
        <v>106.7</v>
      </c>
      <c r="AH10" s="53">
        <f t="shared" si="16"/>
        <v>1478789.9486219706</v>
      </c>
      <c r="AI10" s="190">
        <f>SUM(AI3:AI9)</f>
        <v>17547.138015986297</v>
      </c>
      <c r="AJ10" s="53">
        <f t="shared" ref="AJ10" si="17">SUM(AJ3:AJ9)</f>
        <v>113753.07297092082</v>
      </c>
    </row>
    <row r="11" spans="1:36">
      <c r="G11" s="75"/>
    </row>
    <row r="12" spans="1:36">
      <c r="C12" s="75"/>
      <c r="D12" s="11">
        <f>+B3/13</f>
        <v>3252.8516129032255</v>
      </c>
      <c r="E12" s="4"/>
      <c r="F12" s="75"/>
      <c r="G12" s="75">
        <f>+G10+E10-J10</f>
        <v>150603.90193548382</v>
      </c>
      <c r="I12" s="75">
        <f>+G3+E3-J3</f>
        <v>43669.532903225809</v>
      </c>
    </row>
    <row r="14" spans="1:36">
      <c r="B14" s="465">
        <v>2016</v>
      </c>
      <c r="C14" s="465"/>
      <c r="D14" s="465"/>
      <c r="E14" s="465"/>
      <c r="F14" s="465"/>
      <c r="G14" s="475">
        <v>2017</v>
      </c>
      <c r="H14" s="475"/>
      <c r="I14" s="475"/>
      <c r="J14" s="475"/>
      <c r="K14" s="475"/>
      <c r="L14" s="467">
        <v>2018</v>
      </c>
      <c r="M14" s="467"/>
      <c r="N14" s="467"/>
      <c r="O14" s="467"/>
      <c r="P14" s="467"/>
      <c r="Q14" s="476">
        <v>2019</v>
      </c>
      <c r="R14" s="476"/>
      <c r="S14" s="476"/>
      <c r="T14" s="476"/>
      <c r="U14" s="476"/>
      <c r="V14" s="475">
        <v>2020</v>
      </c>
      <c r="W14" s="475"/>
      <c r="X14" s="475"/>
      <c r="Y14" s="475"/>
      <c r="Z14" s="475"/>
      <c r="AA14" s="475">
        <v>2021</v>
      </c>
      <c r="AB14" s="475"/>
      <c r="AC14" s="475"/>
      <c r="AD14" s="475"/>
      <c r="AE14" s="475"/>
      <c r="AF14" s="475">
        <v>2022</v>
      </c>
      <c r="AG14" s="475"/>
      <c r="AH14" s="475"/>
      <c r="AI14" s="475"/>
      <c r="AJ14" s="475"/>
    </row>
    <row r="15" spans="1:36">
      <c r="A15" s="31" t="s">
        <v>332</v>
      </c>
      <c r="B15" s="478"/>
      <c r="C15" s="478"/>
      <c r="D15" s="478"/>
      <c r="E15" s="477"/>
      <c r="F15" s="477"/>
      <c r="G15" s="192"/>
      <c r="J15" s="479"/>
      <c r="K15" s="479"/>
      <c r="L15" s="479"/>
    </row>
    <row r="16" spans="1:36" ht="12.75" thickBot="1">
      <c r="A16" s="50"/>
      <c r="B16" s="51" t="s">
        <v>391</v>
      </c>
      <c r="C16" s="50" t="s">
        <v>13</v>
      </c>
      <c r="D16" s="50" t="s">
        <v>14</v>
      </c>
      <c r="E16" s="51" t="s">
        <v>120</v>
      </c>
      <c r="F16" s="50" t="s">
        <v>121</v>
      </c>
      <c r="G16" s="51" t="s">
        <v>391</v>
      </c>
      <c r="H16" s="50" t="s">
        <v>13</v>
      </c>
      <c r="I16" s="50" t="s">
        <v>14</v>
      </c>
      <c r="J16" s="51" t="s">
        <v>120</v>
      </c>
      <c r="K16" s="50" t="s">
        <v>121</v>
      </c>
      <c r="L16" s="51" t="s">
        <v>391</v>
      </c>
      <c r="M16" s="50" t="s">
        <v>13</v>
      </c>
      <c r="N16" s="50" t="s">
        <v>14</v>
      </c>
      <c r="O16" s="51" t="s">
        <v>120</v>
      </c>
      <c r="P16" s="50" t="s">
        <v>121</v>
      </c>
      <c r="Q16" s="51" t="s">
        <v>391</v>
      </c>
      <c r="R16" s="50" t="s">
        <v>13</v>
      </c>
      <c r="S16" s="50" t="s">
        <v>14</v>
      </c>
      <c r="T16" s="51" t="s">
        <v>120</v>
      </c>
      <c r="U16" s="50" t="s">
        <v>121</v>
      </c>
      <c r="V16" s="51" t="s">
        <v>391</v>
      </c>
      <c r="W16" s="50" t="s">
        <v>13</v>
      </c>
      <c r="X16" s="50" t="s">
        <v>14</v>
      </c>
      <c r="Y16" s="51" t="s">
        <v>120</v>
      </c>
      <c r="Z16" s="50" t="s">
        <v>121</v>
      </c>
      <c r="AA16" s="51" t="s">
        <v>391</v>
      </c>
      <c r="AB16" s="50" t="s">
        <v>13</v>
      </c>
      <c r="AC16" s="50" t="s">
        <v>14</v>
      </c>
      <c r="AD16" s="51" t="s">
        <v>120</v>
      </c>
      <c r="AE16" s="50" t="s">
        <v>121</v>
      </c>
      <c r="AF16" s="51" t="s">
        <v>391</v>
      </c>
      <c r="AG16" s="50" t="s">
        <v>13</v>
      </c>
      <c r="AH16" s="50" t="s">
        <v>14</v>
      </c>
      <c r="AI16" s="51" t="s">
        <v>120</v>
      </c>
      <c r="AJ16" s="50" t="s">
        <v>121</v>
      </c>
    </row>
    <row r="17" spans="1:36">
      <c r="A17" s="3" t="s">
        <v>54</v>
      </c>
      <c r="B17" s="11">
        <f>+'Consommations Q'!B19</f>
        <v>2318.8645161290324</v>
      </c>
      <c r="C17" s="4">
        <f>+Données!$B$35</f>
        <v>22.183</v>
      </c>
      <c r="D17" s="13">
        <f>+B17*C17</f>
        <v>51439.371561290325</v>
      </c>
      <c r="E17" s="11">
        <f>+'Consommations Q'!D19</f>
        <v>193.23870967741939</v>
      </c>
      <c r="F17" s="13">
        <f>+C17*E17</f>
        <v>4286.6142967741944</v>
      </c>
      <c r="G17" s="11">
        <f>+'Consommations Q'!E19</f>
        <v>2594.2296774193551</v>
      </c>
      <c r="H17" s="4">
        <f>+Données!$B$35</f>
        <v>22.183</v>
      </c>
      <c r="I17" s="13">
        <f>+G17*H17</f>
        <v>57547.796934193553</v>
      </c>
      <c r="J17" s="11">
        <f>+'Consommations Q'!G19</f>
        <v>200.08258064516127</v>
      </c>
      <c r="K17" s="13">
        <f>+H17*J17</f>
        <v>4438.4318864516126</v>
      </c>
      <c r="L17" s="11">
        <f>+'Consommations Q'!H19</f>
        <v>2983.3641290322576</v>
      </c>
      <c r="M17" s="4">
        <f>+Données!$B$35</f>
        <v>22.183</v>
      </c>
      <c r="N17" s="13">
        <f>+L17*M17</f>
        <v>66179.966474322573</v>
      </c>
      <c r="O17" s="11">
        <f>+'Consommations Q'!J19</f>
        <v>231.94012903225803</v>
      </c>
      <c r="P17" s="13">
        <f>+M17*O17</f>
        <v>5145.1278823225794</v>
      </c>
      <c r="Q17" s="11">
        <f>+'Consommations Q'!K19</f>
        <v>3430.8687483870963</v>
      </c>
      <c r="R17" s="4">
        <f>+Données!$B$35</f>
        <v>22.183</v>
      </c>
      <c r="S17" s="13">
        <f>+Q17*R17</f>
        <v>76106.961445470952</v>
      </c>
      <c r="T17" s="11">
        <f>+'Consommations Q'!M19</f>
        <v>266.57738494623652</v>
      </c>
      <c r="U17" s="13">
        <f>+R17*T17</f>
        <v>5913.4861302623649</v>
      </c>
      <c r="V17" s="11">
        <f>+'Consommations Q'!N19</f>
        <v>3945.4990606451602</v>
      </c>
      <c r="W17" s="4">
        <f>+Données!$B$35</f>
        <v>22.183</v>
      </c>
      <c r="X17" s="13">
        <f>+V17*W17</f>
        <v>87523.005662291587</v>
      </c>
      <c r="Y17" s="11">
        <f>+'Consommations Q'!P19</f>
        <v>306.57680630824365</v>
      </c>
      <c r="Z17" s="13">
        <f>+W17*Y17</f>
        <v>6800.7932943357691</v>
      </c>
      <c r="AA17" s="11">
        <f>+'Consommations Q'!Q19</f>
        <v>3928.9676399999985</v>
      </c>
      <c r="AB17" s="4">
        <f>+Données!$B$35</f>
        <v>22.183</v>
      </c>
      <c r="AC17" s="13">
        <f>+AA17*AB17</f>
        <v>87156.289158119966</v>
      </c>
      <c r="AD17" s="11">
        <f>+'Consommations Q'!S19</f>
        <v>301.86590280764625</v>
      </c>
      <c r="AE17" s="13">
        <f>+AB17*AD17</f>
        <v>6696.2913219820166</v>
      </c>
      <c r="AF17" s="11">
        <f>+'Consommations Q'!T19</f>
        <v>3928.9676399999985</v>
      </c>
      <c r="AG17" s="4">
        <f>+Données!$B$35</f>
        <v>22.183</v>
      </c>
      <c r="AH17" s="13">
        <f>+AF17*AG17</f>
        <v>87156.289158119966</v>
      </c>
      <c r="AI17" s="11">
        <f>+'Consommations Q'!V19</f>
        <v>302.25847809936272</v>
      </c>
      <c r="AJ17" s="13">
        <f>+AG17*AI17</f>
        <v>6704.9998196781635</v>
      </c>
    </row>
    <row r="18" spans="1:36">
      <c r="A18" s="3" t="s">
        <v>22</v>
      </c>
      <c r="B18" s="11">
        <f>+'Consommations Q'!B20</f>
        <v>2318.8645161290324</v>
      </c>
      <c r="C18" s="4">
        <f>+Données!$B$35</f>
        <v>22.183</v>
      </c>
      <c r="D18" s="13">
        <f t="shared" ref="D18:D23" si="18">+B18*C18</f>
        <v>51439.371561290325</v>
      </c>
      <c r="E18" s="11">
        <f>+'Consommations Q'!D20</f>
        <v>193.23870967741939</v>
      </c>
      <c r="F18" s="13">
        <f t="shared" ref="F18:F23" si="19">+C18*E18</f>
        <v>4286.6142967741944</v>
      </c>
      <c r="G18" s="11">
        <f>+'Consommations Q'!E20</f>
        <v>2594.2296774193551</v>
      </c>
      <c r="H18" s="4">
        <f>+Données!$B$35</f>
        <v>22.183</v>
      </c>
      <c r="I18" s="13">
        <f t="shared" ref="I18:I23" si="20">+G18*H18</f>
        <v>57547.796934193553</v>
      </c>
      <c r="J18" s="11">
        <f>+'Consommations Q'!G20</f>
        <v>200.08258064516127</v>
      </c>
      <c r="K18" s="13">
        <f t="shared" ref="K18:K23" si="21">+H18*J18</f>
        <v>4438.4318864516126</v>
      </c>
      <c r="L18" s="11">
        <f>+'Consommations Q'!H20</f>
        <v>2983.3641290322576</v>
      </c>
      <c r="M18" s="4">
        <f>+Données!$B$35</f>
        <v>22.183</v>
      </c>
      <c r="N18" s="13">
        <f t="shared" ref="N18:N23" si="22">+L18*M18</f>
        <v>66179.966474322573</v>
      </c>
      <c r="O18" s="11">
        <f>+'Consommations Q'!J20</f>
        <v>231.94012903225803</v>
      </c>
      <c r="P18" s="13">
        <f t="shared" ref="P18:P23" si="23">+M18*O18</f>
        <v>5145.1278823225794</v>
      </c>
      <c r="Q18" s="11">
        <f>+'Consommations Q'!K20</f>
        <v>3430.8687483870963</v>
      </c>
      <c r="R18" s="4">
        <f>+Données!$B$35</f>
        <v>22.183</v>
      </c>
      <c r="S18" s="13">
        <f t="shared" ref="S18:S23" si="24">+Q18*R18</f>
        <v>76106.961445470952</v>
      </c>
      <c r="T18" s="11">
        <f>+'Consommations Q'!M20</f>
        <v>266.57738494623652</v>
      </c>
      <c r="U18" s="13">
        <f t="shared" ref="U18:U23" si="25">+R18*T18</f>
        <v>5913.4861302623649</v>
      </c>
      <c r="V18" s="11">
        <f>+'Consommations Q'!N20</f>
        <v>3945.4990606451602</v>
      </c>
      <c r="W18" s="4">
        <f>+Données!$B$35</f>
        <v>22.183</v>
      </c>
      <c r="X18" s="13">
        <f t="shared" ref="X18:X23" si="26">+V18*W18</f>
        <v>87523.005662291587</v>
      </c>
      <c r="Y18" s="11">
        <f>+'Consommations Q'!P20</f>
        <v>306.57680630824365</v>
      </c>
      <c r="Z18" s="13">
        <f t="shared" ref="Z18:Z23" si="27">+W18*Y18</f>
        <v>6800.7932943357691</v>
      </c>
      <c r="AA18" s="11">
        <f>+'Consommations Q'!Q20</f>
        <v>3928.9676399999985</v>
      </c>
      <c r="AB18" s="4">
        <f>+Données!$B$35</f>
        <v>22.183</v>
      </c>
      <c r="AC18" s="13">
        <f t="shared" ref="AC18:AC23" si="28">+AA18*AB18</f>
        <v>87156.289158119966</v>
      </c>
      <c r="AD18" s="11">
        <f>+'Consommations Q'!S20</f>
        <v>301.86590280764625</v>
      </c>
      <c r="AE18" s="13">
        <f t="shared" ref="AE18:AE23" si="29">+AB18*AD18</f>
        <v>6696.2913219820166</v>
      </c>
      <c r="AF18" s="11">
        <f>+'Consommations Q'!T20</f>
        <v>3928.9676399999985</v>
      </c>
      <c r="AG18" s="4">
        <f>+Données!$B$35</f>
        <v>22.183</v>
      </c>
      <c r="AH18" s="13">
        <f t="shared" ref="AH18:AH23" si="30">+AF18*AG18</f>
        <v>87156.289158119966</v>
      </c>
      <c r="AI18" s="11">
        <f>+'Consommations Q'!V20</f>
        <v>302.25847809936272</v>
      </c>
      <c r="AJ18" s="13">
        <f t="shared" ref="AJ18:AJ22" si="31">+AG18*AI18</f>
        <v>6704.9998196781635</v>
      </c>
    </row>
    <row r="19" spans="1:36">
      <c r="A19" s="3" t="s">
        <v>17</v>
      </c>
      <c r="B19" s="11">
        <f>+'Consommations Q'!B21</f>
        <v>2318.8645161290324</v>
      </c>
      <c r="C19" s="4">
        <f>+Données!$B$35</f>
        <v>22.183</v>
      </c>
      <c r="D19" s="13">
        <f t="shared" si="18"/>
        <v>51439.371561290325</v>
      </c>
      <c r="E19" s="11">
        <f>+'Consommations Q'!D21</f>
        <v>193.23870967741939</v>
      </c>
      <c r="F19" s="13">
        <f t="shared" si="19"/>
        <v>4286.6142967741944</v>
      </c>
      <c r="G19" s="11">
        <f>+'Consommations Q'!E21</f>
        <v>2594.2296774193551</v>
      </c>
      <c r="H19" s="4">
        <f>+Données!$B$35</f>
        <v>22.183</v>
      </c>
      <c r="I19" s="13">
        <f t="shared" si="20"/>
        <v>57547.796934193553</v>
      </c>
      <c r="J19" s="11">
        <f>+'Consommations Q'!G21</f>
        <v>200.08258064516127</v>
      </c>
      <c r="K19" s="13">
        <f t="shared" si="21"/>
        <v>4438.4318864516126</v>
      </c>
      <c r="L19" s="11">
        <f>+'Consommations Q'!H21</f>
        <v>2983.3641290322576</v>
      </c>
      <c r="M19" s="4">
        <f>+Données!$B$35</f>
        <v>22.183</v>
      </c>
      <c r="N19" s="13">
        <f t="shared" si="22"/>
        <v>66179.966474322573</v>
      </c>
      <c r="O19" s="11">
        <f>+'Consommations Q'!J21</f>
        <v>231.94012903225803</v>
      </c>
      <c r="P19" s="13">
        <f t="shared" si="23"/>
        <v>5145.1278823225794</v>
      </c>
      <c r="Q19" s="11">
        <f>+'Consommations Q'!K21</f>
        <v>3430.8687483870963</v>
      </c>
      <c r="R19" s="4">
        <f>+Données!$B$35</f>
        <v>22.183</v>
      </c>
      <c r="S19" s="13">
        <f t="shared" si="24"/>
        <v>76106.961445470952</v>
      </c>
      <c r="T19" s="11">
        <f>+'Consommations Q'!M21</f>
        <v>266.57738494623652</v>
      </c>
      <c r="U19" s="13">
        <f t="shared" si="25"/>
        <v>5913.4861302623649</v>
      </c>
      <c r="V19" s="11">
        <f>+'Consommations Q'!N21</f>
        <v>3945.4990606451602</v>
      </c>
      <c r="W19" s="4">
        <f>+Données!$B$35</f>
        <v>22.183</v>
      </c>
      <c r="X19" s="13">
        <f t="shared" si="26"/>
        <v>87523.005662291587</v>
      </c>
      <c r="Y19" s="11">
        <f>+'Consommations Q'!P21</f>
        <v>306.57680630824365</v>
      </c>
      <c r="Z19" s="13">
        <f t="shared" si="27"/>
        <v>6800.7932943357691</v>
      </c>
      <c r="AA19" s="11">
        <f>+'Consommations Q'!Q21</f>
        <v>3928.9676399999985</v>
      </c>
      <c r="AB19" s="4">
        <f>+Données!$B$35</f>
        <v>22.183</v>
      </c>
      <c r="AC19" s="13">
        <f t="shared" si="28"/>
        <v>87156.289158119966</v>
      </c>
      <c r="AD19" s="11">
        <f>+'Consommations Q'!S21</f>
        <v>301.86590280764625</v>
      </c>
      <c r="AE19" s="13">
        <f t="shared" si="29"/>
        <v>6696.2913219820166</v>
      </c>
      <c r="AF19" s="11">
        <f>+'Consommations Q'!T21</f>
        <v>3928.9676399999985</v>
      </c>
      <c r="AG19" s="4">
        <f>+Données!$B$35</f>
        <v>22.183</v>
      </c>
      <c r="AH19" s="13">
        <f t="shared" si="30"/>
        <v>87156.289158119966</v>
      </c>
      <c r="AI19" s="11">
        <f>+'Consommations Q'!V21</f>
        <v>302.25847809936272</v>
      </c>
      <c r="AJ19" s="13">
        <f t="shared" si="31"/>
        <v>6704.9998196781635</v>
      </c>
    </row>
    <row r="20" spans="1:36">
      <c r="A20" s="3" t="s">
        <v>55</v>
      </c>
      <c r="B20" s="11">
        <f>+'Consommations Q'!B22</f>
        <v>260.12903225806451</v>
      </c>
      <c r="C20" s="4">
        <f>+Données!$B$35</f>
        <v>22.183</v>
      </c>
      <c r="D20" s="13">
        <f t="shared" si="18"/>
        <v>5770.4423225806449</v>
      </c>
      <c r="E20" s="11">
        <f>+'Consommations Q'!D22</f>
        <v>21.677419354838712</v>
      </c>
      <c r="F20" s="13">
        <f t="shared" si="19"/>
        <v>480.87019354838714</v>
      </c>
      <c r="G20" s="11">
        <f>+'Consommations Q'!E22</f>
        <v>291.01935483870966</v>
      </c>
      <c r="H20" s="4">
        <f>+Données!$B$35</f>
        <v>22.183</v>
      </c>
      <c r="I20" s="13">
        <f t="shared" si="20"/>
        <v>6455.6823483870967</v>
      </c>
      <c r="J20" s="11">
        <f>+'Consommations Q'!G22</f>
        <v>22.445161290322577</v>
      </c>
      <c r="K20" s="13">
        <f t="shared" si="21"/>
        <v>497.90101290322571</v>
      </c>
      <c r="L20" s="11">
        <f>+'Consommations Q'!H22</f>
        <v>334.67225806451614</v>
      </c>
      <c r="M20" s="4">
        <f>+Données!$B$35</f>
        <v>22.183</v>
      </c>
      <c r="N20" s="13">
        <f t="shared" si="22"/>
        <v>7424.0347006451611</v>
      </c>
      <c r="O20" s="11">
        <f>+'Consommations Q'!J22</f>
        <v>26.018924731182796</v>
      </c>
      <c r="P20" s="13">
        <f t="shared" si="23"/>
        <v>577.17780731182802</v>
      </c>
      <c r="Q20" s="11">
        <f>+'Consommations Q'!K22</f>
        <v>384.87309677419347</v>
      </c>
      <c r="R20" s="4">
        <f>+Données!$B$35</f>
        <v>22.183</v>
      </c>
      <c r="S20" s="13">
        <f t="shared" si="24"/>
        <v>8537.639905741933</v>
      </c>
      <c r="T20" s="11">
        <f>+'Consommations Q'!M22</f>
        <v>29.904514336917561</v>
      </c>
      <c r="U20" s="13">
        <f t="shared" si="25"/>
        <v>663.37184153584224</v>
      </c>
      <c r="V20" s="11">
        <f>+'Consommations Q'!N22</f>
        <v>442.60406129032248</v>
      </c>
      <c r="W20" s="4">
        <f>+Données!$B$35</f>
        <v>22.183</v>
      </c>
      <c r="X20" s="13">
        <f t="shared" si="26"/>
        <v>9818.2858916032237</v>
      </c>
      <c r="Y20" s="11">
        <f>+'Consommations Q'!P22</f>
        <v>34.391628912783744</v>
      </c>
      <c r="Z20" s="13">
        <f t="shared" si="27"/>
        <v>762.9095041722818</v>
      </c>
      <c r="AA20" s="11">
        <f>+'Consommations Q'!Q22</f>
        <v>440.74957499999988</v>
      </c>
      <c r="AB20" s="4">
        <f>+Données!$B$35</f>
        <v>22.183</v>
      </c>
      <c r="AC20" s="13">
        <f t="shared" si="28"/>
        <v>9777.1478222249971</v>
      </c>
      <c r="AD20" s="11">
        <f>+'Consommations Q'!S22</f>
        <v>33.863162173934683</v>
      </c>
      <c r="AE20" s="13">
        <f t="shared" si="29"/>
        <v>751.1865265043931</v>
      </c>
      <c r="AF20" s="11">
        <f>+'Consommations Q'!T22</f>
        <v>440.74957499999988</v>
      </c>
      <c r="AG20" s="4">
        <f>+Données!$B$35</f>
        <v>22.183</v>
      </c>
      <c r="AH20" s="13">
        <f t="shared" si="30"/>
        <v>9777.1478222249971</v>
      </c>
      <c r="AI20" s="11">
        <f>+'Consommations Q'!V22</f>
        <v>33.907201068838766</v>
      </c>
      <c r="AJ20" s="13">
        <f t="shared" si="31"/>
        <v>752.1634413100503</v>
      </c>
    </row>
    <row r="21" spans="1:36">
      <c r="A21" s="3" t="s">
        <v>56</v>
      </c>
      <c r="B21" s="11">
        <f>+'Consommations Q'!B23</f>
        <v>260.12903225806451</v>
      </c>
      <c r="C21" s="4">
        <f>+Données!$B$35</f>
        <v>22.183</v>
      </c>
      <c r="D21" s="13">
        <f t="shared" si="18"/>
        <v>5770.4423225806449</v>
      </c>
      <c r="E21" s="11">
        <f>+'Consommations Q'!D23</f>
        <v>21.677419354838712</v>
      </c>
      <c r="F21" s="13">
        <f t="shared" si="19"/>
        <v>480.87019354838714</v>
      </c>
      <c r="G21" s="11">
        <f>+'Consommations Q'!E23</f>
        <v>291.01935483870966</v>
      </c>
      <c r="H21" s="4">
        <f>+Données!$B$35</f>
        <v>22.183</v>
      </c>
      <c r="I21" s="13">
        <f t="shared" si="20"/>
        <v>6455.6823483870967</v>
      </c>
      <c r="J21" s="11">
        <f>+'Consommations Q'!G23</f>
        <v>22.445161290322577</v>
      </c>
      <c r="K21" s="13">
        <f t="shared" si="21"/>
        <v>497.90101290322571</v>
      </c>
      <c r="L21" s="11">
        <f>+'Consommations Q'!H23</f>
        <v>334.67225806451614</v>
      </c>
      <c r="M21" s="4">
        <f>+Données!$B$35</f>
        <v>22.183</v>
      </c>
      <c r="N21" s="13">
        <f t="shared" si="22"/>
        <v>7424.0347006451611</v>
      </c>
      <c r="O21" s="11">
        <f>+'Consommations Q'!J23</f>
        <v>26.018924731182796</v>
      </c>
      <c r="P21" s="13">
        <f t="shared" si="23"/>
        <v>577.17780731182802</v>
      </c>
      <c r="Q21" s="11">
        <f>+'Consommations Q'!K23</f>
        <v>384.87309677419347</v>
      </c>
      <c r="R21" s="4">
        <f>+Données!$B$35</f>
        <v>22.183</v>
      </c>
      <c r="S21" s="13">
        <f t="shared" si="24"/>
        <v>8537.639905741933</v>
      </c>
      <c r="T21" s="11">
        <f>+'Consommations Q'!M23</f>
        <v>29.904514336917561</v>
      </c>
      <c r="U21" s="13">
        <f t="shared" si="25"/>
        <v>663.37184153584224</v>
      </c>
      <c r="V21" s="11">
        <f>+'Consommations Q'!N23</f>
        <v>442.60406129032248</v>
      </c>
      <c r="W21" s="4">
        <f>+Données!$B$35</f>
        <v>22.183</v>
      </c>
      <c r="X21" s="13">
        <f t="shared" si="26"/>
        <v>9818.2858916032237</v>
      </c>
      <c r="Y21" s="11">
        <f>+'Consommations Q'!P23</f>
        <v>34.391628912783744</v>
      </c>
      <c r="Z21" s="13">
        <f t="shared" si="27"/>
        <v>762.9095041722818</v>
      </c>
      <c r="AA21" s="11">
        <f>+'Consommations Q'!Q23</f>
        <v>440.74957499999988</v>
      </c>
      <c r="AB21" s="4">
        <f>+Données!$B$35</f>
        <v>22.183</v>
      </c>
      <c r="AC21" s="13">
        <f t="shared" si="28"/>
        <v>9777.1478222249971</v>
      </c>
      <c r="AD21" s="11">
        <f>+'Consommations Q'!S23</f>
        <v>33.863162173934683</v>
      </c>
      <c r="AE21" s="13">
        <f t="shared" si="29"/>
        <v>751.1865265043931</v>
      </c>
      <c r="AF21" s="11">
        <f>+'Consommations Q'!T23</f>
        <v>440.74957499999988</v>
      </c>
      <c r="AG21" s="4">
        <f>+Données!$B$35</f>
        <v>22.183</v>
      </c>
      <c r="AH21" s="13">
        <f t="shared" si="30"/>
        <v>9777.1478222249971</v>
      </c>
      <c r="AI21" s="11">
        <f>+'Consommations Q'!V23</f>
        <v>33.907201068838766</v>
      </c>
      <c r="AJ21" s="13">
        <f t="shared" si="31"/>
        <v>752.1634413100503</v>
      </c>
    </row>
    <row r="22" spans="1:36">
      <c r="A22" s="3" t="s">
        <v>57</v>
      </c>
      <c r="B22" s="11">
        <f>+'Consommations Q'!B24</f>
        <v>260.12903225806451</v>
      </c>
      <c r="C22" s="4">
        <f>+Données!$B$35</f>
        <v>22.183</v>
      </c>
      <c r="D22" s="13">
        <f t="shared" si="18"/>
        <v>5770.4423225806449</v>
      </c>
      <c r="E22" s="11">
        <f>+'Consommations Q'!D24</f>
        <v>21.677419354838712</v>
      </c>
      <c r="F22" s="13">
        <f t="shared" si="19"/>
        <v>480.87019354838714</v>
      </c>
      <c r="G22" s="11">
        <f>+'Consommations Q'!E24</f>
        <v>291.01935483870966</v>
      </c>
      <c r="H22" s="4">
        <f>+Données!$B$35</f>
        <v>22.183</v>
      </c>
      <c r="I22" s="13">
        <f t="shared" si="20"/>
        <v>6455.6823483870967</v>
      </c>
      <c r="J22" s="11">
        <f>+'Consommations Q'!G24</f>
        <v>22.445161290322577</v>
      </c>
      <c r="K22" s="13">
        <f t="shared" si="21"/>
        <v>497.90101290322571</v>
      </c>
      <c r="L22" s="11">
        <f>+'Consommations Q'!H24</f>
        <v>334.67225806451614</v>
      </c>
      <c r="M22" s="4">
        <f>+Données!$B$35</f>
        <v>22.183</v>
      </c>
      <c r="N22" s="13">
        <f t="shared" si="22"/>
        <v>7424.0347006451611</v>
      </c>
      <c r="O22" s="11">
        <f>+'Consommations Q'!J24</f>
        <v>26.018924731182796</v>
      </c>
      <c r="P22" s="13">
        <f t="shared" si="23"/>
        <v>577.17780731182802</v>
      </c>
      <c r="Q22" s="11">
        <f>+'Consommations Q'!K24</f>
        <v>384.87309677419347</v>
      </c>
      <c r="R22" s="4">
        <f>+Données!$B$35</f>
        <v>22.183</v>
      </c>
      <c r="S22" s="13">
        <f t="shared" si="24"/>
        <v>8537.639905741933</v>
      </c>
      <c r="T22" s="11">
        <f>+'Consommations Q'!M24</f>
        <v>29.904514336917561</v>
      </c>
      <c r="U22" s="13">
        <f t="shared" si="25"/>
        <v>663.37184153584224</v>
      </c>
      <c r="V22" s="11">
        <f>+'Consommations Q'!N24</f>
        <v>442.60406129032248</v>
      </c>
      <c r="W22" s="4">
        <f>+Données!$B$35</f>
        <v>22.183</v>
      </c>
      <c r="X22" s="13">
        <f t="shared" si="26"/>
        <v>9818.2858916032237</v>
      </c>
      <c r="Y22" s="11">
        <f>+'Consommations Q'!P24</f>
        <v>34.391628912783744</v>
      </c>
      <c r="Z22" s="13">
        <f t="shared" si="27"/>
        <v>762.9095041722818</v>
      </c>
      <c r="AA22" s="11">
        <f>+'Consommations Q'!Q24</f>
        <v>440.74957499999988</v>
      </c>
      <c r="AB22" s="4">
        <f>+Données!$B$35</f>
        <v>22.183</v>
      </c>
      <c r="AC22" s="13">
        <f t="shared" si="28"/>
        <v>9777.1478222249971</v>
      </c>
      <c r="AD22" s="11">
        <f>+'Consommations Q'!S24</f>
        <v>33.863162173934683</v>
      </c>
      <c r="AE22" s="13">
        <f t="shared" si="29"/>
        <v>751.1865265043931</v>
      </c>
      <c r="AF22" s="11">
        <f>+'Consommations Q'!T24</f>
        <v>440.74957499999988</v>
      </c>
      <c r="AG22" s="4">
        <f>+Données!$B$35</f>
        <v>22.183</v>
      </c>
      <c r="AH22" s="13">
        <f t="shared" si="30"/>
        <v>9777.1478222249971</v>
      </c>
      <c r="AI22" s="11">
        <f>+'Consommations Q'!V24</f>
        <v>33.907201068838766</v>
      </c>
      <c r="AJ22" s="13">
        <f t="shared" si="31"/>
        <v>752.1634413100503</v>
      </c>
    </row>
    <row r="23" spans="1:36">
      <c r="A23" s="3" t="s">
        <v>23</v>
      </c>
      <c r="B23" s="11">
        <f>+'Consommations Q'!B25</f>
        <v>260.12903225806451</v>
      </c>
      <c r="C23" s="4">
        <f>+Données!$B$35</f>
        <v>22.183</v>
      </c>
      <c r="D23" s="13">
        <f t="shared" si="18"/>
        <v>5770.4423225806449</v>
      </c>
      <c r="E23" s="11">
        <f>+'Consommations Q'!D25</f>
        <v>21.677419354838712</v>
      </c>
      <c r="F23" s="13">
        <f t="shared" si="19"/>
        <v>480.87019354838714</v>
      </c>
      <c r="G23" s="11">
        <f>+'Consommations Q'!E25</f>
        <v>291.01935483870966</v>
      </c>
      <c r="H23" s="4">
        <f>+Données!$B$35</f>
        <v>22.183</v>
      </c>
      <c r="I23" s="13">
        <f t="shared" si="20"/>
        <v>6455.6823483870967</v>
      </c>
      <c r="J23" s="11">
        <f>+'Consommations Q'!G25</f>
        <v>22.445161290322577</v>
      </c>
      <c r="K23" s="13">
        <f t="shared" si="21"/>
        <v>497.90101290322571</v>
      </c>
      <c r="L23" s="11">
        <f>+'Consommations Q'!H25</f>
        <v>334.67225806451614</v>
      </c>
      <c r="M23" s="4">
        <f>+Données!$B$35</f>
        <v>22.183</v>
      </c>
      <c r="N23" s="13">
        <f t="shared" si="22"/>
        <v>7424.0347006451611</v>
      </c>
      <c r="O23" s="11">
        <f>+'Consommations Q'!J25</f>
        <v>26.018924731182796</v>
      </c>
      <c r="P23" s="13">
        <f t="shared" si="23"/>
        <v>577.17780731182802</v>
      </c>
      <c r="Q23" s="11">
        <f>+'Consommations Q'!K25</f>
        <v>384.87309677419347</v>
      </c>
      <c r="R23" s="4">
        <f>+Données!$B$35</f>
        <v>22.183</v>
      </c>
      <c r="S23" s="13">
        <f t="shared" si="24"/>
        <v>8537.639905741933</v>
      </c>
      <c r="T23" s="11">
        <f>+'Consommations Q'!M25</f>
        <v>29.904514336917561</v>
      </c>
      <c r="U23" s="13">
        <f t="shared" si="25"/>
        <v>663.37184153584224</v>
      </c>
      <c r="V23" s="11">
        <f>+'Consommations Q'!N25</f>
        <v>442.60406129032248</v>
      </c>
      <c r="W23" s="4">
        <f>+Données!$B$35</f>
        <v>22.183</v>
      </c>
      <c r="X23" s="13">
        <f t="shared" si="26"/>
        <v>9818.2858916032237</v>
      </c>
      <c r="Y23" s="11">
        <f>+'Consommations Q'!P25</f>
        <v>34.391628912783744</v>
      </c>
      <c r="Z23" s="13">
        <f t="shared" si="27"/>
        <v>762.9095041722818</v>
      </c>
      <c r="AA23" s="11">
        <f>+'Consommations Q'!Q25</f>
        <v>440.74957499999988</v>
      </c>
      <c r="AB23" s="4">
        <f>+Données!$B$35</f>
        <v>22.183</v>
      </c>
      <c r="AC23" s="13">
        <f t="shared" si="28"/>
        <v>9777.1478222249971</v>
      </c>
      <c r="AD23" s="11">
        <f>+'Consommations Q'!S25</f>
        <v>33.863162173934683</v>
      </c>
      <c r="AE23" s="13">
        <f t="shared" si="29"/>
        <v>751.1865265043931</v>
      </c>
      <c r="AF23" s="11">
        <f>+'Consommations Q'!T25</f>
        <v>440.74957499999988</v>
      </c>
      <c r="AG23" s="4">
        <f>+Données!$B$35</f>
        <v>22.183</v>
      </c>
      <c r="AH23" s="13">
        <f t="shared" si="30"/>
        <v>9777.1478222249971</v>
      </c>
      <c r="AI23" s="11">
        <f>+'Consommations Q'!V25</f>
        <v>33.907201068838766</v>
      </c>
      <c r="AJ23" s="13">
        <f>+AG23*AI23</f>
        <v>752.1634413100503</v>
      </c>
    </row>
    <row r="24" spans="1:36">
      <c r="A24" s="52" t="s">
        <v>58</v>
      </c>
      <c r="B24" s="190">
        <f>SUM(B17:B23)</f>
        <v>7997.1096774193547</v>
      </c>
      <c r="C24" s="54"/>
      <c r="D24" s="190">
        <f t="shared" ref="D24:E24" si="32">SUM(D17:D23)</f>
        <v>177399.88397419354</v>
      </c>
      <c r="E24" s="190">
        <f t="shared" si="32"/>
        <v>666.42580645161286</v>
      </c>
      <c r="F24" s="190">
        <f>SUM(F17:F23)</f>
        <v>14783.323664516134</v>
      </c>
      <c r="G24" s="190">
        <f>SUM(G17:G23)</f>
        <v>8946.7664516129043</v>
      </c>
      <c r="H24" s="54"/>
      <c r="I24" s="190">
        <f>SUM(I17:I23)</f>
        <v>198466.12019612899</v>
      </c>
      <c r="J24" s="190">
        <f t="shared" ref="J24" si="33">SUM(J17:J23)</f>
        <v>690.0283870967744</v>
      </c>
      <c r="K24" s="190">
        <f>SUM(K17:K23)</f>
        <v>15306.899710967737</v>
      </c>
      <c r="L24" s="190">
        <f>SUM(L17:L23)</f>
        <v>10288.781419354838</v>
      </c>
      <c r="M24" s="54"/>
      <c r="N24" s="190">
        <f t="shared" ref="N24" si="34">SUM(N17:N23)</f>
        <v>228236.03822554837</v>
      </c>
      <c r="O24" s="190">
        <f t="shared" ref="O24" si="35">SUM(O17:O23)</f>
        <v>799.8960860215052</v>
      </c>
      <c r="P24" s="190">
        <f>SUM(P17:P23)</f>
        <v>17744.094876215051</v>
      </c>
      <c r="Q24" s="190">
        <f>SUM(Q17:Q23)</f>
        <v>11832.098632258065</v>
      </c>
      <c r="R24" s="54"/>
      <c r="S24" s="190">
        <f t="shared" ref="S24" si="36">SUM(S17:S23)</f>
        <v>262471.44395938062</v>
      </c>
      <c r="T24" s="190">
        <f t="shared" ref="T24" si="37">SUM(T17:T23)</f>
        <v>919.35021218637996</v>
      </c>
      <c r="U24" s="190">
        <f>SUM(U17:U23)</f>
        <v>20393.945756930461</v>
      </c>
      <c r="V24" s="190">
        <f>SUM(V17:V23)</f>
        <v>13606.913427096766</v>
      </c>
      <c r="W24" s="54"/>
      <c r="X24" s="190">
        <f t="shared" ref="X24" si="38">SUM(X17:X23)</f>
        <v>301842.1605532876</v>
      </c>
      <c r="Y24" s="190">
        <f>SUM(Y17:Y23)</f>
        <v>1057.2969345758659</v>
      </c>
      <c r="Z24" s="190">
        <f>SUM(Z17:Z23)</f>
        <v>23454.017899696439</v>
      </c>
      <c r="AA24" s="190">
        <f>SUM(AA17:AA23)</f>
        <v>13549.901219999994</v>
      </c>
      <c r="AB24" s="54"/>
      <c r="AC24" s="190">
        <f t="shared" ref="AC24" si="39">SUM(AC17:AC23)</f>
        <v>300577.45876325987</v>
      </c>
      <c r="AD24" s="190">
        <f>SUM(AD17:AD23)</f>
        <v>1041.0503571186775</v>
      </c>
      <c r="AE24" s="190">
        <f>SUM(AE17:AE23)</f>
        <v>23093.620071963618</v>
      </c>
      <c r="AF24" s="190">
        <f>SUM(AF17:AF23)</f>
        <v>13549.901219999994</v>
      </c>
      <c r="AG24" s="54"/>
      <c r="AH24" s="190">
        <f t="shared" ref="AH24" si="40">SUM(AH17:AH23)</f>
        <v>300577.45876325987</v>
      </c>
      <c r="AI24" s="190">
        <f>SUM(AI17:AI23)</f>
        <v>1042.4042385734431</v>
      </c>
      <c r="AJ24" s="190">
        <f>SUM(AJ17:AJ23)</f>
        <v>23123.653224274694</v>
      </c>
    </row>
    <row r="26" spans="1:36">
      <c r="G26" s="3">
        <f>+(G24-B24)/B24</f>
        <v>0.11875000000000016</v>
      </c>
      <c r="I26" s="3">
        <f>+(I24-D24)/D24</f>
        <v>0.11874999999999984</v>
      </c>
      <c r="N26" s="3">
        <f>+(N24-I24)/I24</f>
        <v>0.15000000000000016</v>
      </c>
      <c r="S26" s="3">
        <f>+(S24-N24)/N24</f>
        <v>0.14999999999999997</v>
      </c>
      <c r="X26" s="3">
        <f>+(X24-S24)/S24</f>
        <v>0.14999999999999958</v>
      </c>
      <c r="AC26" s="3">
        <f>+(AC24-X24)/X24</f>
        <v>-4.189944134078168E-3</v>
      </c>
      <c r="AH26" s="3">
        <f>+(AH24-AC24)/AC24</f>
        <v>0</v>
      </c>
    </row>
    <row r="27" spans="1:36">
      <c r="B27" s="465">
        <v>2016</v>
      </c>
      <c r="C27" s="465"/>
      <c r="D27" s="465"/>
      <c r="E27" s="465"/>
      <c r="F27" s="465"/>
      <c r="G27" s="475">
        <v>2017</v>
      </c>
      <c r="H27" s="475"/>
      <c r="I27" s="475"/>
      <c r="J27" s="475"/>
      <c r="K27" s="475"/>
      <c r="L27" s="467">
        <v>2018</v>
      </c>
      <c r="M27" s="467"/>
      <c r="N27" s="467"/>
      <c r="O27" s="467"/>
      <c r="P27" s="467"/>
      <c r="Q27" s="476">
        <v>2019</v>
      </c>
      <c r="R27" s="476"/>
      <c r="S27" s="476"/>
      <c r="T27" s="476"/>
      <c r="U27" s="476"/>
      <c r="V27" s="475">
        <v>2020</v>
      </c>
      <c r="W27" s="475"/>
      <c r="X27" s="475"/>
      <c r="Y27" s="475"/>
      <c r="Z27" s="475"/>
      <c r="AA27" s="475">
        <v>2021</v>
      </c>
      <c r="AB27" s="475"/>
      <c r="AC27" s="475"/>
      <c r="AD27" s="475"/>
      <c r="AE27" s="475"/>
      <c r="AF27" s="475">
        <v>2022</v>
      </c>
      <c r="AG27" s="475"/>
      <c r="AH27" s="475"/>
      <c r="AI27" s="475"/>
      <c r="AJ27" s="475"/>
    </row>
    <row r="28" spans="1:36">
      <c r="A28" s="28" t="s">
        <v>333</v>
      </c>
      <c r="B28" s="478"/>
      <c r="C28" s="478"/>
      <c r="D28" s="478"/>
      <c r="E28" s="477"/>
      <c r="F28" s="477"/>
      <c r="G28" s="192"/>
      <c r="J28" s="479"/>
      <c r="K28" s="479"/>
      <c r="L28" s="479"/>
    </row>
    <row r="29" spans="1:36" ht="12.75" thickBot="1">
      <c r="A29" s="50"/>
      <c r="B29" s="51" t="s">
        <v>391</v>
      </c>
      <c r="C29" s="50" t="s">
        <v>13</v>
      </c>
      <c r="D29" s="50" t="s">
        <v>14</v>
      </c>
      <c r="E29" s="51" t="s">
        <v>120</v>
      </c>
      <c r="F29" s="50" t="s">
        <v>121</v>
      </c>
      <c r="G29" s="51" t="s">
        <v>391</v>
      </c>
      <c r="H29" s="50" t="s">
        <v>13</v>
      </c>
      <c r="I29" s="50" t="s">
        <v>14</v>
      </c>
      <c r="J29" s="51" t="s">
        <v>120</v>
      </c>
      <c r="K29" s="50" t="s">
        <v>121</v>
      </c>
      <c r="L29" s="51" t="s">
        <v>391</v>
      </c>
      <c r="M29" s="50" t="s">
        <v>13</v>
      </c>
      <c r="N29" s="50" t="s">
        <v>14</v>
      </c>
      <c r="O29" s="51" t="s">
        <v>120</v>
      </c>
      <c r="P29" s="50" t="s">
        <v>121</v>
      </c>
      <c r="Q29" s="51" t="s">
        <v>391</v>
      </c>
      <c r="R29" s="50" t="s">
        <v>13</v>
      </c>
      <c r="S29" s="50" t="s">
        <v>14</v>
      </c>
      <c r="T29" s="51" t="s">
        <v>120</v>
      </c>
      <c r="U29" s="50" t="s">
        <v>121</v>
      </c>
      <c r="V29" s="51" t="s">
        <v>391</v>
      </c>
      <c r="W29" s="50" t="s">
        <v>13</v>
      </c>
      <c r="X29" s="50" t="s">
        <v>14</v>
      </c>
      <c r="Y29" s="51" t="s">
        <v>120</v>
      </c>
      <c r="Z29" s="50" t="s">
        <v>121</v>
      </c>
      <c r="AA29" s="51" t="s">
        <v>391</v>
      </c>
      <c r="AB29" s="50" t="s">
        <v>13</v>
      </c>
      <c r="AC29" s="50" t="s">
        <v>14</v>
      </c>
      <c r="AD29" s="51" t="s">
        <v>120</v>
      </c>
      <c r="AE29" s="50" t="s">
        <v>121</v>
      </c>
      <c r="AF29" s="51" t="s">
        <v>391</v>
      </c>
      <c r="AG29" s="50" t="s">
        <v>13</v>
      </c>
      <c r="AH29" s="50" t="s">
        <v>14</v>
      </c>
      <c r="AI29" s="51" t="s">
        <v>120</v>
      </c>
      <c r="AJ29" s="50" t="s">
        <v>121</v>
      </c>
    </row>
    <row r="30" spans="1:36">
      <c r="A30" s="3" t="s">
        <v>54</v>
      </c>
      <c r="B30" s="11">
        <f>+'Consommations Q'!B32</f>
        <v>1932.3870967741937</v>
      </c>
      <c r="C30" s="4">
        <f>+Données!$B$17</f>
        <v>11</v>
      </c>
      <c r="D30" s="13">
        <f>+B30*C30</f>
        <v>21256.258064516129</v>
      </c>
      <c r="E30" s="11">
        <f>+'Consommations Q'!D32</f>
        <v>161.03225806451613</v>
      </c>
      <c r="F30" s="13">
        <f>+C30*E30</f>
        <v>1771.3548387096773</v>
      </c>
      <c r="G30" s="11">
        <f>+'Consommations Q'!E32</f>
        <v>2161.8580645161292</v>
      </c>
      <c r="H30" s="4">
        <f>+Données!$B$17</f>
        <v>11</v>
      </c>
      <c r="I30" s="13">
        <f>+G30*H30</f>
        <v>23780.438709677423</v>
      </c>
      <c r="J30" s="11">
        <f>+'Consommations Q'!G32</f>
        <v>166.73548387096773</v>
      </c>
      <c r="K30" s="13">
        <f>+H30*J30</f>
        <v>1834.0903225806451</v>
      </c>
      <c r="L30" s="11">
        <f>+'Consommations Q'!H32</f>
        <v>2486.1367741935483</v>
      </c>
      <c r="M30" s="4">
        <f>+Données!$B$17</f>
        <v>11</v>
      </c>
      <c r="N30" s="13">
        <f>+L30*M30</f>
        <v>27347.504516129033</v>
      </c>
      <c r="O30" s="11">
        <f>+'Consommations Q'!J32</f>
        <v>193.28344086021505</v>
      </c>
      <c r="P30" s="13">
        <f>+M30*O30</f>
        <v>2126.1178494623655</v>
      </c>
      <c r="Q30" s="11">
        <f>+'Consommations Q'!K32</f>
        <v>2859.0572903225802</v>
      </c>
      <c r="R30" s="4">
        <f>+Données!$B$17</f>
        <v>11</v>
      </c>
      <c r="S30" s="13">
        <f>+Q30*R30</f>
        <v>31449.630193548383</v>
      </c>
      <c r="T30" s="11">
        <f>+'Consommations Q'!M32</f>
        <v>222.1478207885304</v>
      </c>
      <c r="U30" s="13">
        <f>+R30*T30</f>
        <v>2443.6260286738343</v>
      </c>
      <c r="V30" s="11">
        <f>+'Consommations Q'!N32</f>
        <v>3287.9158838709673</v>
      </c>
      <c r="W30" s="4">
        <f>+Données!$B$17</f>
        <v>11</v>
      </c>
      <c r="X30" s="13">
        <f>+V30*W30</f>
        <v>36167.074722580641</v>
      </c>
      <c r="Y30" s="11">
        <f>+'Consommations Q'!P32</f>
        <v>255.48067192353639</v>
      </c>
      <c r="Z30" s="13">
        <f>+W30*Y30</f>
        <v>2810.2873911589004</v>
      </c>
      <c r="AA30" s="11">
        <f>+'Consommations Q'!Q32</f>
        <v>3274.1396999999993</v>
      </c>
      <c r="AB30" s="4">
        <f>+Données!$B$17</f>
        <v>11</v>
      </c>
      <c r="AC30" s="13">
        <f>+AA30*AB30</f>
        <v>36015.53669999999</v>
      </c>
      <c r="AD30" s="11">
        <f>+'Consommations Q'!S32</f>
        <v>251.55491900637193</v>
      </c>
      <c r="AE30" s="13">
        <f>+AB30*AD30</f>
        <v>2767.1041090700915</v>
      </c>
      <c r="AF30" s="11">
        <f>+'Consommations Q'!T32</f>
        <v>3274.1396999999993</v>
      </c>
      <c r="AG30" s="4">
        <f>+Données!$B$17</f>
        <v>11</v>
      </c>
      <c r="AH30" s="13">
        <f>+AF30*AG30</f>
        <v>36015.53669999999</v>
      </c>
      <c r="AI30" s="11">
        <f>+'Consommations Q'!V32</f>
        <v>251.88206508280228</v>
      </c>
      <c r="AJ30" s="13">
        <f>+AG30*AI30</f>
        <v>2770.7027159108252</v>
      </c>
    </row>
    <row r="31" spans="1:36">
      <c r="A31" s="3" t="s">
        <v>22</v>
      </c>
      <c r="B31" s="11">
        <f>+'Consommations Q'!B33</f>
        <v>1932.3870967741937</v>
      </c>
      <c r="C31" s="4">
        <f>+Données!$B$17</f>
        <v>11</v>
      </c>
      <c r="D31" s="13">
        <f t="shared" ref="D31:D36" si="41">+B31*C31</f>
        <v>21256.258064516129</v>
      </c>
      <c r="E31" s="11">
        <f>+'Consommations Q'!D33</f>
        <v>161.03225806451613</v>
      </c>
      <c r="F31" s="13">
        <f t="shared" ref="F31:F36" si="42">+C31*E31</f>
        <v>1771.3548387096773</v>
      </c>
      <c r="G31" s="11">
        <f>+'Consommations Q'!E33</f>
        <v>2161.8580645161292</v>
      </c>
      <c r="H31" s="4">
        <f>+Données!$B$17</f>
        <v>11</v>
      </c>
      <c r="I31" s="13">
        <f t="shared" ref="I31:I36" si="43">+G31*H31</f>
        <v>23780.438709677423</v>
      </c>
      <c r="J31" s="11">
        <f>+'Consommations Q'!G33</f>
        <v>166.73548387096773</v>
      </c>
      <c r="K31" s="13">
        <f t="shared" ref="K31:K36" si="44">+H31*J31</f>
        <v>1834.0903225806451</v>
      </c>
      <c r="L31" s="11">
        <f>+'Consommations Q'!H33</f>
        <v>2486.1367741935483</v>
      </c>
      <c r="M31" s="4">
        <f>+Données!$B$17</f>
        <v>11</v>
      </c>
      <c r="N31" s="13">
        <f t="shared" ref="N31:N36" si="45">+L31*M31</f>
        <v>27347.504516129033</v>
      </c>
      <c r="O31" s="11">
        <f>+'Consommations Q'!J33</f>
        <v>193.28344086021505</v>
      </c>
      <c r="P31" s="13">
        <f t="shared" ref="P31:P36" si="46">+M31*O31</f>
        <v>2126.1178494623655</v>
      </c>
      <c r="Q31" s="11">
        <f>+'Consommations Q'!K33</f>
        <v>2859.0572903225802</v>
      </c>
      <c r="R31" s="4">
        <f>+Données!$B$17</f>
        <v>11</v>
      </c>
      <c r="S31" s="13">
        <f t="shared" ref="S31:S36" si="47">+Q31*R31</f>
        <v>31449.630193548383</v>
      </c>
      <c r="T31" s="11">
        <f>+'Consommations Q'!M33</f>
        <v>222.1478207885304</v>
      </c>
      <c r="U31" s="13">
        <f t="shared" ref="U31:U36" si="48">+R31*T31</f>
        <v>2443.6260286738343</v>
      </c>
      <c r="V31" s="11">
        <f>+'Consommations Q'!N33</f>
        <v>3287.9158838709673</v>
      </c>
      <c r="W31" s="4">
        <f>+Données!$B$17</f>
        <v>11</v>
      </c>
      <c r="X31" s="13">
        <f t="shared" ref="X31:X36" si="49">+V31*W31</f>
        <v>36167.074722580641</v>
      </c>
      <c r="Y31" s="11">
        <f>+'Consommations Q'!P33</f>
        <v>255.48067192353639</v>
      </c>
      <c r="Z31" s="13">
        <f t="shared" ref="Z31:Z36" si="50">+W31*Y31</f>
        <v>2810.2873911589004</v>
      </c>
      <c r="AA31" s="11">
        <f>+'Consommations Q'!Q33</f>
        <v>3274.1396999999993</v>
      </c>
      <c r="AB31" s="4">
        <f>+Données!$B$17</f>
        <v>11</v>
      </c>
      <c r="AC31" s="13">
        <f t="shared" ref="AC31:AC36" si="51">+AA31*AB31</f>
        <v>36015.53669999999</v>
      </c>
      <c r="AD31" s="11">
        <f>+'Consommations Q'!S33</f>
        <v>251.55491900637193</v>
      </c>
      <c r="AE31" s="13">
        <f t="shared" ref="AE31:AE36" si="52">+AB31*AD31</f>
        <v>2767.1041090700915</v>
      </c>
      <c r="AF31" s="11">
        <f>+'Consommations Q'!T33</f>
        <v>3274.1396999999993</v>
      </c>
      <c r="AG31" s="4">
        <f>+Données!$B$17</f>
        <v>11</v>
      </c>
      <c r="AH31" s="13">
        <f t="shared" ref="AH31:AH36" si="53">+AF31*AG31</f>
        <v>36015.53669999999</v>
      </c>
      <c r="AI31" s="11">
        <f>+'Consommations Q'!V33</f>
        <v>251.88206508280228</v>
      </c>
      <c r="AJ31" s="13">
        <f t="shared" ref="AJ31:AJ36" si="54">+AG31*AI31</f>
        <v>2770.7027159108252</v>
      </c>
    </row>
    <row r="32" spans="1:36">
      <c r="A32" s="3" t="s">
        <v>17</v>
      </c>
      <c r="B32" s="11">
        <f>+'Consommations Q'!B34</f>
        <v>1932.3870967741937</v>
      </c>
      <c r="C32" s="4">
        <f>+Données!$B$17</f>
        <v>11</v>
      </c>
      <c r="D32" s="13">
        <f t="shared" si="41"/>
        <v>21256.258064516129</v>
      </c>
      <c r="E32" s="11">
        <f>+'Consommations Q'!D34</f>
        <v>161.03225806451613</v>
      </c>
      <c r="F32" s="13">
        <f t="shared" si="42"/>
        <v>1771.3548387096773</v>
      </c>
      <c r="G32" s="11">
        <f>+'Consommations Q'!E34</f>
        <v>2161.8580645161292</v>
      </c>
      <c r="H32" s="4">
        <f>+Données!$B$17</f>
        <v>11</v>
      </c>
      <c r="I32" s="13">
        <f t="shared" si="43"/>
        <v>23780.438709677423</v>
      </c>
      <c r="J32" s="11">
        <f>+'Consommations Q'!G34</f>
        <v>166.73548387096773</v>
      </c>
      <c r="K32" s="13">
        <f t="shared" si="44"/>
        <v>1834.0903225806451</v>
      </c>
      <c r="L32" s="11">
        <f>+'Consommations Q'!H34</f>
        <v>2486.1367741935483</v>
      </c>
      <c r="M32" s="4">
        <f>+Données!$B$17</f>
        <v>11</v>
      </c>
      <c r="N32" s="13">
        <f t="shared" si="45"/>
        <v>27347.504516129033</v>
      </c>
      <c r="O32" s="11">
        <f>+'Consommations Q'!J34</f>
        <v>193.28344086021505</v>
      </c>
      <c r="P32" s="13">
        <f t="shared" si="46"/>
        <v>2126.1178494623655</v>
      </c>
      <c r="Q32" s="11">
        <f>+'Consommations Q'!K34</f>
        <v>2859.0572903225802</v>
      </c>
      <c r="R32" s="4">
        <f>+Données!$B$17</f>
        <v>11</v>
      </c>
      <c r="S32" s="13">
        <f t="shared" si="47"/>
        <v>31449.630193548383</v>
      </c>
      <c r="T32" s="11">
        <f>+'Consommations Q'!M34</f>
        <v>222.1478207885304</v>
      </c>
      <c r="U32" s="13">
        <f t="shared" si="48"/>
        <v>2443.6260286738343</v>
      </c>
      <c r="V32" s="11">
        <f>+'Consommations Q'!N34</f>
        <v>3287.9158838709673</v>
      </c>
      <c r="W32" s="4">
        <f>+Données!$B$17</f>
        <v>11</v>
      </c>
      <c r="X32" s="13">
        <f t="shared" si="49"/>
        <v>36167.074722580641</v>
      </c>
      <c r="Y32" s="11">
        <f>+'Consommations Q'!P34</f>
        <v>255.48067192353639</v>
      </c>
      <c r="Z32" s="13">
        <f t="shared" si="50"/>
        <v>2810.2873911589004</v>
      </c>
      <c r="AA32" s="11">
        <f>+'Consommations Q'!Q34</f>
        <v>3274.1396999999993</v>
      </c>
      <c r="AB32" s="4">
        <f>+Données!$B$17</f>
        <v>11</v>
      </c>
      <c r="AC32" s="13">
        <f t="shared" si="51"/>
        <v>36015.53669999999</v>
      </c>
      <c r="AD32" s="11">
        <f>+'Consommations Q'!S34</f>
        <v>251.55491900637193</v>
      </c>
      <c r="AE32" s="13">
        <f t="shared" si="52"/>
        <v>2767.1041090700915</v>
      </c>
      <c r="AF32" s="11">
        <f>+'Consommations Q'!T34</f>
        <v>3274.1396999999993</v>
      </c>
      <c r="AG32" s="4">
        <f>+Données!$B$17</f>
        <v>11</v>
      </c>
      <c r="AH32" s="13">
        <f t="shared" si="53"/>
        <v>36015.53669999999</v>
      </c>
      <c r="AI32" s="11">
        <f>+'Consommations Q'!V34</f>
        <v>251.88206508280228</v>
      </c>
      <c r="AJ32" s="13">
        <f t="shared" si="54"/>
        <v>2770.7027159108252</v>
      </c>
    </row>
    <row r="33" spans="1:36">
      <c r="A33" s="3" t="s">
        <v>55</v>
      </c>
      <c r="B33" s="11">
        <f>+'Consommations Q'!B35</f>
        <v>216.77419354838713</v>
      </c>
      <c r="C33" s="4">
        <f>+Données!$B$17</f>
        <v>11</v>
      </c>
      <c r="D33" s="13">
        <f t="shared" si="41"/>
        <v>2384.5161290322585</v>
      </c>
      <c r="E33" s="11">
        <f>+'Consommations Q'!D35</f>
        <v>18.06451612903226</v>
      </c>
      <c r="F33" s="13">
        <f t="shared" si="42"/>
        <v>198.70967741935485</v>
      </c>
      <c r="G33" s="11">
        <f>+'Consommations Q'!E35</f>
        <v>242.51612903225805</v>
      </c>
      <c r="H33" s="4">
        <f>+Données!$B$17</f>
        <v>11</v>
      </c>
      <c r="I33" s="13">
        <f t="shared" si="43"/>
        <v>2667.6774193548385</v>
      </c>
      <c r="J33" s="11">
        <f>+'Consommations Q'!G35</f>
        <v>18.704301075268816</v>
      </c>
      <c r="K33" s="13">
        <f t="shared" si="44"/>
        <v>205.74731182795699</v>
      </c>
      <c r="L33" s="11">
        <f>+'Consommations Q'!H35</f>
        <v>278.89354838709681</v>
      </c>
      <c r="M33" s="4">
        <f>+Données!$B$17</f>
        <v>11</v>
      </c>
      <c r="N33" s="13">
        <f t="shared" si="45"/>
        <v>3067.8290322580651</v>
      </c>
      <c r="O33" s="11">
        <f>+'Consommations Q'!J35</f>
        <v>21.682437275985667</v>
      </c>
      <c r="P33" s="13">
        <f t="shared" si="46"/>
        <v>238.50681003584234</v>
      </c>
      <c r="Q33" s="11">
        <f>+'Consommations Q'!K35</f>
        <v>320.72758064516125</v>
      </c>
      <c r="R33" s="4">
        <f>+Données!$B$17</f>
        <v>11</v>
      </c>
      <c r="S33" s="13">
        <f t="shared" si="47"/>
        <v>3528.0033870967736</v>
      </c>
      <c r="T33" s="11">
        <f>+'Consommations Q'!M35</f>
        <v>24.920428614097968</v>
      </c>
      <c r="U33" s="13">
        <f t="shared" si="48"/>
        <v>274.12471475507766</v>
      </c>
      <c r="V33" s="11">
        <f>+'Consommations Q'!N35</f>
        <v>368.83671774193544</v>
      </c>
      <c r="W33" s="4">
        <f>+Données!$B$17</f>
        <v>11</v>
      </c>
      <c r="X33" s="13">
        <f t="shared" si="49"/>
        <v>4057.2038951612899</v>
      </c>
      <c r="Y33" s="11">
        <f>+'Consommations Q'!P35</f>
        <v>28.659690760653124</v>
      </c>
      <c r="Z33" s="13">
        <f t="shared" si="50"/>
        <v>315.25659836718438</v>
      </c>
      <c r="AA33" s="11">
        <f>+'Consommations Q'!Q35</f>
        <v>367.29131249999995</v>
      </c>
      <c r="AB33" s="4">
        <f>+Données!$B$17</f>
        <v>11</v>
      </c>
      <c r="AC33" s="13">
        <f t="shared" si="51"/>
        <v>4040.2044374999996</v>
      </c>
      <c r="AD33" s="11">
        <f>+'Consommations Q'!S35</f>
        <v>28.219301811612237</v>
      </c>
      <c r="AE33" s="13">
        <f t="shared" si="52"/>
        <v>310.41231992773459</v>
      </c>
      <c r="AF33" s="11">
        <f>+'Consommations Q'!T35</f>
        <v>367.29131249999995</v>
      </c>
      <c r="AG33" s="4">
        <f>+Données!$B$17</f>
        <v>11</v>
      </c>
      <c r="AH33" s="13">
        <f t="shared" si="53"/>
        <v>4040.2044374999996</v>
      </c>
      <c r="AI33" s="11">
        <f>+'Consommations Q'!V35</f>
        <v>28.256000890698978</v>
      </c>
      <c r="AJ33" s="13">
        <f t="shared" si="54"/>
        <v>310.81600979768876</v>
      </c>
    </row>
    <row r="34" spans="1:36">
      <c r="A34" s="3" t="s">
        <v>56</v>
      </c>
      <c r="B34" s="11">
        <f>+'Consommations Q'!B36</f>
        <v>216.77419354838713</v>
      </c>
      <c r="C34" s="4">
        <f>+Données!$B$17</f>
        <v>11</v>
      </c>
      <c r="D34" s="13">
        <f t="shared" si="41"/>
        <v>2384.5161290322585</v>
      </c>
      <c r="E34" s="11">
        <f>+'Consommations Q'!D36</f>
        <v>18.06451612903226</v>
      </c>
      <c r="F34" s="13">
        <f t="shared" si="42"/>
        <v>198.70967741935485</v>
      </c>
      <c r="G34" s="11">
        <f>+'Consommations Q'!E36</f>
        <v>242.51612903225805</v>
      </c>
      <c r="H34" s="4">
        <f>+Données!$B$17</f>
        <v>11</v>
      </c>
      <c r="I34" s="13">
        <f t="shared" si="43"/>
        <v>2667.6774193548385</v>
      </c>
      <c r="J34" s="11">
        <f>+'Consommations Q'!G36</f>
        <v>18.704301075268816</v>
      </c>
      <c r="K34" s="13">
        <f t="shared" si="44"/>
        <v>205.74731182795699</v>
      </c>
      <c r="L34" s="11">
        <f>+'Consommations Q'!H36</f>
        <v>278.89354838709681</v>
      </c>
      <c r="M34" s="4">
        <f>+Données!$B$17</f>
        <v>11</v>
      </c>
      <c r="N34" s="13">
        <f t="shared" si="45"/>
        <v>3067.8290322580651</v>
      </c>
      <c r="O34" s="11">
        <f>+'Consommations Q'!J36</f>
        <v>21.682437275985667</v>
      </c>
      <c r="P34" s="13">
        <f t="shared" si="46"/>
        <v>238.50681003584234</v>
      </c>
      <c r="Q34" s="11">
        <f>+'Consommations Q'!K36</f>
        <v>320.72758064516125</v>
      </c>
      <c r="R34" s="4">
        <f>+Données!$B$17</f>
        <v>11</v>
      </c>
      <c r="S34" s="13">
        <f t="shared" si="47"/>
        <v>3528.0033870967736</v>
      </c>
      <c r="T34" s="11">
        <f>+'Consommations Q'!M36</f>
        <v>24.920428614097968</v>
      </c>
      <c r="U34" s="13">
        <f t="shared" si="48"/>
        <v>274.12471475507766</v>
      </c>
      <c r="V34" s="11">
        <f>+'Consommations Q'!N36</f>
        <v>368.83671774193544</v>
      </c>
      <c r="W34" s="4">
        <f>+Données!$B$17</f>
        <v>11</v>
      </c>
      <c r="X34" s="13">
        <f t="shared" si="49"/>
        <v>4057.2038951612899</v>
      </c>
      <c r="Y34" s="11">
        <f>+'Consommations Q'!P36</f>
        <v>28.659690760653124</v>
      </c>
      <c r="Z34" s="13">
        <f t="shared" si="50"/>
        <v>315.25659836718438</v>
      </c>
      <c r="AA34" s="11">
        <f>+'Consommations Q'!Q36</f>
        <v>367.29131249999995</v>
      </c>
      <c r="AB34" s="4">
        <f>+Données!$B$17</f>
        <v>11</v>
      </c>
      <c r="AC34" s="13">
        <f t="shared" si="51"/>
        <v>4040.2044374999996</v>
      </c>
      <c r="AD34" s="11">
        <f>+'Consommations Q'!S36</f>
        <v>28.219301811612237</v>
      </c>
      <c r="AE34" s="13">
        <f t="shared" si="52"/>
        <v>310.41231992773459</v>
      </c>
      <c r="AF34" s="11">
        <f>+'Consommations Q'!T36</f>
        <v>367.29131249999995</v>
      </c>
      <c r="AG34" s="4">
        <f>+Données!$B$17</f>
        <v>11</v>
      </c>
      <c r="AH34" s="13">
        <f t="shared" si="53"/>
        <v>4040.2044374999996</v>
      </c>
      <c r="AI34" s="11">
        <f>+'Consommations Q'!V36</f>
        <v>28.256000890698978</v>
      </c>
      <c r="AJ34" s="13">
        <f t="shared" si="54"/>
        <v>310.81600979768876</v>
      </c>
    </row>
    <row r="35" spans="1:36">
      <c r="A35" s="3" t="s">
        <v>57</v>
      </c>
      <c r="B35" s="11">
        <f>+'Consommations Q'!B37</f>
        <v>216.77419354838713</v>
      </c>
      <c r="C35" s="4">
        <f>+Données!$B$17</f>
        <v>11</v>
      </c>
      <c r="D35" s="13">
        <f t="shared" si="41"/>
        <v>2384.5161290322585</v>
      </c>
      <c r="E35" s="11">
        <f>+'Consommations Q'!D37</f>
        <v>18.06451612903226</v>
      </c>
      <c r="F35" s="13">
        <f t="shared" si="42"/>
        <v>198.70967741935485</v>
      </c>
      <c r="G35" s="11">
        <f>+'Consommations Q'!E37</f>
        <v>242.51612903225805</v>
      </c>
      <c r="H35" s="4">
        <f>+Données!$B$17</f>
        <v>11</v>
      </c>
      <c r="I35" s="13">
        <f t="shared" si="43"/>
        <v>2667.6774193548385</v>
      </c>
      <c r="J35" s="11">
        <f>+'Consommations Q'!G37</f>
        <v>18.704301075268816</v>
      </c>
      <c r="K35" s="13">
        <f t="shared" si="44"/>
        <v>205.74731182795699</v>
      </c>
      <c r="L35" s="11">
        <f>+'Consommations Q'!H37</f>
        <v>278.89354838709681</v>
      </c>
      <c r="M35" s="4">
        <f>+Données!$B$17</f>
        <v>11</v>
      </c>
      <c r="N35" s="13">
        <f t="shared" si="45"/>
        <v>3067.8290322580651</v>
      </c>
      <c r="O35" s="11">
        <f>+'Consommations Q'!J37</f>
        <v>21.682437275985667</v>
      </c>
      <c r="P35" s="13">
        <f t="shared" si="46"/>
        <v>238.50681003584234</v>
      </c>
      <c r="Q35" s="11">
        <f>+'Consommations Q'!K37</f>
        <v>320.72758064516125</v>
      </c>
      <c r="R35" s="4">
        <f>+Données!$B$17</f>
        <v>11</v>
      </c>
      <c r="S35" s="13">
        <f t="shared" si="47"/>
        <v>3528.0033870967736</v>
      </c>
      <c r="T35" s="11">
        <f>+'Consommations Q'!M37</f>
        <v>24.920428614097968</v>
      </c>
      <c r="U35" s="13">
        <f t="shared" si="48"/>
        <v>274.12471475507766</v>
      </c>
      <c r="V35" s="11">
        <f>+'Consommations Q'!N37</f>
        <v>368.83671774193544</v>
      </c>
      <c r="W35" s="4">
        <f>+Données!$B$17</f>
        <v>11</v>
      </c>
      <c r="X35" s="13">
        <f t="shared" si="49"/>
        <v>4057.2038951612899</v>
      </c>
      <c r="Y35" s="11">
        <f>+'Consommations Q'!P37</f>
        <v>28.659690760653124</v>
      </c>
      <c r="Z35" s="13">
        <f t="shared" si="50"/>
        <v>315.25659836718438</v>
      </c>
      <c r="AA35" s="11">
        <f>+'Consommations Q'!Q37</f>
        <v>367.29131249999995</v>
      </c>
      <c r="AB35" s="4">
        <f>+Données!$B$17</f>
        <v>11</v>
      </c>
      <c r="AC35" s="13">
        <f t="shared" si="51"/>
        <v>4040.2044374999996</v>
      </c>
      <c r="AD35" s="11">
        <f>+'Consommations Q'!S37</f>
        <v>28.219301811612237</v>
      </c>
      <c r="AE35" s="13">
        <f t="shared" si="52"/>
        <v>310.41231992773459</v>
      </c>
      <c r="AF35" s="11">
        <f>+'Consommations Q'!T37</f>
        <v>367.29131249999995</v>
      </c>
      <c r="AG35" s="4">
        <f>+Données!$B$17</f>
        <v>11</v>
      </c>
      <c r="AH35" s="13">
        <f t="shared" si="53"/>
        <v>4040.2044374999996</v>
      </c>
      <c r="AI35" s="11">
        <f>+'Consommations Q'!V37</f>
        <v>28.256000890698978</v>
      </c>
      <c r="AJ35" s="13">
        <f t="shared" si="54"/>
        <v>310.81600979768876</v>
      </c>
    </row>
    <row r="36" spans="1:36">
      <c r="A36" s="3" t="s">
        <v>23</v>
      </c>
      <c r="B36" s="11">
        <f>+'Consommations Q'!B38</f>
        <v>216.77419354838713</v>
      </c>
      <c r="C36" s="4">
        <f>+Données!$B$17</f>
        <v>11</v>
      </c>
      <c r="D36" s="13">
        <f t="shared" si="41"/>
        <v>2384.5161290322585</v>
      </c>
      <c r="E36" s="11">
        <f>+'Consommations Q'!D38</f>
        <v>18.06451612903226</v>
      </c>
      <c r="F36" s="13">
        <f t="shared" si="42"/>
        <v>198.70967741935485</v>
      </c>
      <c r="G36" s="11">
        <f>+'Consommations Q'!E38</f>
        <v>242.51612903225805</v>
      </c>
      <c r="H36" s="4">
        <f>+Données!$B$17</f>
        <v>11</v>
      </c>
      <c r="I36" s="13">
        <f t="shared" si="43"/>
        <v>2667.6774193548385</v>
      </c>
      <c r="J36" s="11">
        <f>+'Consommations Q'!G38</f>
        <v>18.704301075268816</v>
      </c>
      <c r="K36" s="13">
        <f t="shared" si="44"/>
        <v>205.74731182795699</v>
      </c>
      <c r="L36" s="11">
        <f>+'Consommations Q'!H38</f>
        <v>278.89354838709681</v>
      </c>
      <c r="M36" s="4">
        <f>+Données!$B$17</f>
        <v>11</v>
      </c>
      <c r="N36" s="13">
        <f t="shared" si="45"/>
        <v>3067.8290322580651</v>
      </c>
      <c r="O36" s="11">
        <f>+'Consommations Q'!J38</f>
        <v>21.682437275985667</v>
      </c>
      <c r="P36" s="13">
        <f t="shared" si="46"/>
        <v>238.50681003584234</v>
      </c>
      <c r="Q36" s="11">
        <f>+'Consommations Q'!K38</f>
        <v>320.72758064516125</v>
      </c>
      <c r="R36" s="4">
        <f>+Données!$B$17</f>
        <v>11</v>
      </c>
      <c r="S36" s="13">
        <f t="shared" si="47"/>
        <v>3528.0033870967736</v>
      </c>
      <c r="T36" s="11">
        <f>+'Consommations Q'!M38</f>
        <v>24.920428614097968</v>
      </c>
      <c r="U36" s="13">
        <f t="shared" si="48"/>
        <v>274.12471475507766</v>
      </c>
      <c r="V36" s="11">
        <f>+'Consommations Q'!N38</f>
        <v>368.83671774193544</v>
      </c>
      <c r="W36" s="4">
        <f>+Données!$B$17</f>
        <v>11</v>
      </c>
      <c r="X36" s="13">
        <f t="shared" si="49"/>
        <v>4057.2038951612899</v>
      </c>
      <c r="Y36" s="11">
        <f>+'Consommations Q'!P38</f>
        <v>28.659690760653124</v>
      </c>
      <c r="Z36" s="13">
        <f t="shared" si="50"/>
        <v>315.25659836718438</v>
      </c>
      <c r="AA36" s="11">
        <f>+'Consommations Q'!Q38</f>
        <v>367.29131249999995</v>
      </c>
      <c r="AB36" s="4">
        <f>+Données!$B$17</f>
        <v>11</v>
      </c>
      <c r="AC36" s="13">
        <f t="shared" si="51"/>
        <v>4040.2044374999996</v>
      </c>
      <c r="AD36" s="11">
        <f>+'Consommations Q'!S38</f>
        <v>28.219301811612237</v>
      </c>
      <c r="AE36" s="13">
        <f t="shared" si="52"/>
        <v>310.41231992773459</v>
      </c>
      <c r="AF36" s="11">
        <f>+'Consommations Q'!T38</f>
        <v>367.29131249999995</v>
      </c>
      <c r="AG36" s="4">
        <f>+Données!$B$17</f>
        <v>11</v>
      </c>
      <c r="AH36" s="13">
        <f t="shared" si="53"/>
        <v>4040.2044374999996</v>
      </c>
      <c r="AI36" s="11">
        <f>+'Consommations Q'!V38</f>
        <v>28.256000890698978</v>
      </c>
      <c r="AJ36" s="13">
        <f t="shared" si="54"/>
        <v>310.81600979768876</v>
      </c>
    </row>
    <row r="37" spans="1:36">
      <c r="A37" s="52" t="s">
        <v>58</v>
      </c>
      <c r="B37" s="190">
        <f>SUM(B30:B36)</f>
        <v>6664.2580645161306</v>
      </c>
      <c r="C37" s="54"/>
      <c r="D37" s="190">
        <f t="shared" ref="D37" si="55">SUM(D30:D36)</f>
        <v>73306.838709677424</v>
      </c>
      <c r="E37" s="190">
        <f t="shared" ref="E37" si="56">SUM(E30:E36)</f>
        <v>555.35483870967755</v>
      </c>
      <c r="F37" s="190">
        <f>SUM(F30:F36)</f>
        <v>6108.9032258064526</v>
      </c>
      <c r="G37" s="190">
        <f>SUM(G30:G36)</f>
        <v>7455.6387096774179</v>
      </c>
      <c r="H37" s="54"/>
      <c r="I37" s="190">
        <f t="shared" ref="I37" si="57">SUM(I30:I36)</f>
        <v>82012.025806451595</v>
      </c>
      <c r="J37" s="190">
        <f t="shared" ref="J37" si="58">SUM(J30:J36)</f>
        <v>575.02365591397859</v>
      </c>
      <c r="K37" s="190">
        <f>SUM(K30:K36)</f>
        <v>6325.2602150537623</v>
      </c>
      <c r="L37" s="190">
        <f>SUM(L30:L36)</f>
        <v>8573.9845161290323</v>
      </c>
      <c r="M37" s="54"/>
      <c r="N37" s="190">
        <f t="shared" ref="N37" si="59">SUM(N30:N36)</f>
        <v>94313.829677419388</v>
      </c>
      <c r="O37" s="190">
        <f t="shared" ref="O37" si="60">SUM(O30:O36)</f>
        <v>666.58007168458778</v>
      </c>
      <c r="P37" s="190">
        <f>SUM(P30:P36)</f>
        <v>7332.380788530465</v>
      </c>
      <c r="Q37" s="190">
        <f>SUM(Q30:Q36)</f>
        <v>9860.0821935483873</v>
      </c>
      <c r="R37" s="54"/>
      <c r="S37" s="190">
        <f t="shared" ref="S37" si="61">SUM(S30:S36)</f>
        <v>108460.90412903225</v>
      </c>
      <c r="T37" s="190">
        <f t="shared" ref="T37" si="62">SUM(T30:T36)</f>
        <v>766.12517682198313</v>
      </c>
      <c r="U37" s="190">
        <f>SUM(U30:U36)</f>
        <v>8427.3769450418131</v>
      </c>
      <c r="V37" s="190">
        <f>SUM(V30:V36)</f>
        <v>11339.094522580643</v>
      </c>
      <c r="W37" s="54"/>
      <c r="X37" s="190">
        <f t="shared" ref="X37" si="63">SUM(X30:X36)</f>
        <v>124730.03974838709</v>
      </c>
      <c r="Y37" s="190">
        <f>SUM(Y30:Y36)</f>
        <v>881.08077881322163</v>
      </c>
      <c r="Z37" s="190">
        <f>SUM(Z30:Z36)</f>
        <v>9691.8885669454394</v>
      </c>
      <c r="AA37" s="190">
        <f>SUM(AA30:AA36)</f>
        <v>11291.584349999996</v>
      </c>
      <c r="AB37" s="54"/>
      <c r="AC37" s="190">
        <f t="shared" ref="AC37" si="64">SUM(AC30:AC36)</f>
        <v>124207.42784999995</v>
      </c>
      <c r="AD37" s="190">
        <f>SUM(AD30:AD36)</f>
        <v>867.54196426556473</v>
      </c>
      <c r="AE37" s="190">
        <f>SUM(AE30:AE36)</f>
        <v>9542.9616069212134</v>
      </c>
      <c r="AF37" s="190">
        <f>SUM(AF30:AF36)</f>
        <v>11291.584349999996</v>
      </c>
      <c r="AG37" s="54"/>
      <c r="AH37" s="190">
        <f t="shared" ref="AH37" si="65">SUM(AH30:AH36)</f>
        <v>124207.42784999995</v>
      </c>
      <c r="AI37" s="190">
        <f>SUM(AI30:AI36)</f>
        <v>868.67019881120268</v>
      </c>
      <c r="AJ37" s="190">
        <f>SUM(AJ30:AJ36)</f>
        <v>9555.3721869232304</v>
      </c>
    </row>
    <row r="39" spans="1:36">
      <c r="D39" s="75"/>
      <c r="I39" s="3">
        <f>+(I37-D37)/D37</f>
        <v>0.11874999999999968</v>
      </c>
      <c r="N39" s="3">
        <f>+(N37-I37)/I37</f>
        <v>0.15000000000000066</v>
      </c>
      <c r="S39" s="3">
        <f>+(S37-N37)/N37</f>
        <v>0.14999999999999949</v>
      </c>
      <c r="X39" s="3">
        <f>+(X37-S37)/S37</f>
        <v>0.15000000000000005</v>
      </c>
      <c r="AC39" s="3">
        <f>+(AC37-X37)/X37</f>
        <v>-4.1899441340785748E-3</v>
      </c>
      <c r="AH39" s="3">
        <f>+(AH37-AC37)/AC37</f>
        <v>0</v>
      </c>
    </row>
    <row r="41" spans="1:36" ht="12.75" thickBot="1"/>
    <row r="42" spans="1:36" ht="13.5" thickTop="1">
      <c r="A42" s="174" t="s">
        <v>166</v>
      </c>
      <c r="B42" s="174" t="s">
        <v>201</v>
      </c>
      <c r="C42" s="174">
        <v>2016</v>
      </c>
      <c r="D42" s="174">
        <v>2017</v>
      </c>
      <c r="E42" s="174">
        <v>2018</v>
      </c>
      <c r="F42" s="174">
        <v>2019</v>
      </c>
      <c r="G42" s="174">
        <v>2020</v>
      </c>
      <c r="H42" s="174">
        <v>2021</v>
      </c>
      <c r="I42" s="174">
        <v>2022</v>
      </c>
    </row>
    <row r="43" spans="1:36" ht="12.75">
      <c r="A43" s="187" t="s">
        <v>122</v>
      </c>
      <c r="B43" s="187"/>
      <c r="C43" s="188">
        <f>+'Chiffre d''affaire'!G10</f>
        <v>1935840</v>
      </c>
      <c r="D43" s="188">
        <f>+'Chiffre d''affaire'!L10/0.9</f>
        <v>2226216</v>
      </c>
      <c r="E43" s="188">
        <f>+'Chiffre d''affaire'!N10/0.9</f>
        <v>2560148.3999999994</v>
      </c>
      <c r="F43" s="188">
        <f>+'Chiffre d''affaire'!P10/0.9</f>
        <v>2944170.6599999983</v>
      </c>
      <c r="G43" s="188">
        <f>+'Chiffre d''affaire'!R10/0.9</f>
        <v>3385796.2589999991</v>
      </c>
      <c r="H43" s="188">
        <f>+'Chiffre d''affaire'!T10/0.9</f>
        <v>3385796.2589999991</v>
      </c>
      <c r="I43" s="188">
        <f>+'Chiffre d''affaire'!V10/0.9</f>
        <v>3385796.2589999991</v>
      </c>
    </row>
    <row r="44" spans="1:36">
      <c r="A44" s="3" t="s">
        <v>33</v>
      </c>
      <c r="C44" s="4">
        <f>+C43*0.01</f>
        <v>19358.400000000001</v>
      </c>
      <c r="D44" s="4">
        <f>+D43*0.01</f>
        <v>22262.16</v>
      </c>
      <c r="E44" s="4">
        <f t="shared" ref="E44:G44" si="66">+E43*0.01</f>
        <v>25601.483999999997</v>
      </c>
      <c r="F44" s="4">
        <f t="shared" si="66"/>
        <v>29441.706599999983</v>
      </c>
      <c r="G44" s="4">
        <f t="shared" si="66"/>
        <v>33857.962589999996</v>
      </c>
      <c r="H44" s="4">
        <f t="shared" ref="H44:I44" si="67">+H43*0.01</f>
        <v>33857.962589999996</v>
      </c>
      <c r="I44" s="4">
        <f t="shared" si="67"/>
        <v>33857.962589999996</v>
      </c>
    </row>
    <row r="45" spans="1:36">
      <c r="A45" s="3" t="s">
        <v>34</v>
      </c>
      <c r="C45" s="4">
        <f>+C43*0.01</f>
        <v>19358.400000000001</v>
      </c>
      <c r="D45" s="4">
        <f t="shared" ref="D45:G45" si="68">+D43*0.01</f>
        <v>22262.16</v>
      </c>
      <c r="E45" s="4">
        <f t="shared" si="68"/>
        <v>25601.483999999997</v>
      </c>
      <c r="F45" s="4">
        <f t="shared" si="68"/>
        <v>29441.706599999983</v>
      </c>
      <c r="G45" s="4">
        <f t="shared" si="68"/>
        <v>33857.962589999996</v>
      </c>
      <c r="H45" s="4">
        <f t="shared" ref="H45:I45" si="69">+H43*0.01</f>
        <v>33857.962589999996</v>
      </c>
      <c r="I45" s="4">
        <f t="shared" si="69"/>
        <v>33857.962589999996</v>
      </c>
    </row>
    <row r="46" spans="1:36">
      <c r="A46" s="3" t="s">
        <v>35</v>
      </c>
      <c r="C46" s="4">
        <f>+C43*0.005</f>
        <v>9679.2000000000007</v>
      </c>
      <c r="D46" s="4">
        <f t="shared" ref="D46:G46" si="70">+D43*0.005</f>
        <v>11131.08</v>
      </c>
      <c r="E46" s="4">
        <f t="shared" si="70"/>
        <v>12800.741999999998</v>
      </c>
      <c r="F46" s="4">
        <f t="shared" si="70"/>
        <v>14720.853299999992</v>
      </c>
      <c r="G46" s="4">
        <f t="shared" si="70"/>
        <v>16928.981294999998</v>
      </c>
      <c r="H46" s="4">
        <f t="shared" ref="H46:I46" si="71">+H43*0.005</f>
        <v>16928.981294999998</v>
      </c>
      <c r="I46" s="4">
        <f t="shared" si="71"/>
        <v>16928.981294999998</v>
      </c>
    </row>
    <row r="47" spans="1:36">
      <c r="A47" s="28"/>
      <c r="B47" s="28"/>
      <c r="C47" s="169">
        <f>SUM(C44:C46)</f>
        <v>48396</v>
      </c>
      <c r="D47" s="169">
        <f t="shared" ref="D47:G47" si="72">SUM(D44:D46)</f>
        <v>55655.4</v>
      </c>
      <c r="E47" s="169">
        <f t="shared" si="72"/>
        <v>64003.709999999992</v>
      </c>
      <c r="F47" s="169">
        <f t="shared" si="72"/>
        <v>73604.266499999954</v>
      </c>
      <c r="G47" s="169">
        <f t="shared" si="72"/>
        <v>84644.906474999996</v>
      </c>
      <c r="H47" s="169">
        <f t="shared" ref="H47:I47" si="73">SUM(H44:H46)</f>
        <v>84644.906474999996</v>
      </c>
      <c r="I47" s="169">
        <f t="shared" si="73"/>
        <v>84644.906474999996</v>
      </c>
    </row>
    <row r="49" spans="1:17">
      <c r="D49" s="3">
        <f>+(D47-C47)/C47</f>
        <v>0.15000000000000002</v>
      </c>
      <c r="E49" s="3">
        <f>+(E47-D47)/D47</f>
        <v>0.14999999999999983</v>
      </c>
      <c r="F49" s="3">
        <f t="shared" ref="F49" si="74">+(F47-E47)/E47</f>
        <v>0.14999999999999944</v>
      </c>
      <c r="G49" s="3">
        <f>+(G47-F47)/F47</f>
        <v>0.15000000000000066</v>
      </c>
      <c r="H49" s="3">
        <f t="shared" ref="H49:I49" si="75">+(H47-G47)/G47</f>
        <v>0</v>
      </c>
      <c r="I49" s="3">
        <f t="shared" si="75"/>
        <v>0</v>
      </c>
    </row>
    <row r="51" spans="1:17">
      <c r="C51" s="12"/>
      <c r="D51" s="12"/>
      <c r="E51" s="12"/>
      <c r="F51" s="12"/>
      <c r="G51" s="12"/>
    </row>
    <row r="52" spans="1:17">
      <c r="A52" s="3" t="s">
        <v>134</v>
      </c>
      <c r="D52" s="480">
        <v>2016</v>
      </c>
      <c r="E52" s="480"/>
      <c r="F52" s="480">
        <v>2017</v>
      </c>
      <c r="G52" s="480"/>
      <c r="H52" s="480">
        <v>2018</v>
      </c>
      <c r="I52" s="480"/>
      <c r="J52" s="480">
        <v>2019</v>
      </c>
      <c r="K52" s="480"/>
      <c r="L52" s="480">
        <v>2020</v>
      </c>
      <c r="M52" s="480"/>
      <c r="N52" s="480">
        <v>2021</v>
      </c>
      <c r="O52" s="480"/>
      <c r="P52" s="480">
        <v>2022</v>
      </c>
      <c r="Q52" s="480"/>
    </row>
    <row r="53" spans="1:17" ht="12.75" thickBot="1">
      <c r="A53" s="50"/>
      <c r="B53" s="50" t="s">
        <v>13</v>
      </c>
      <c r="C53" s="50" t="s">
        <v>338</v>
      </c>
      <c r="D53" s="51" t="s">
        <v>339</v>
      </c>
      <c r="E53" s="50" t="s">
        <v>340</v>
      </c>
      <c r="F53" s="50" t="s">
        <v>339</v>
      </c>
      <c r="G53" s="50" t="s">
        <v>340</v>
      </c>
      <c r="H53" s="50" t="s">
        <v>339</v>
      </c>
      <c r="I53" s="50" t="s">
        <v>340</v>
      </c>
      <c r="J53" s="50" t="s">
        <v>339</v>
      </c>
      <c r="K53" s="50" t="s">
        <v>340</v>
      </c>
      <c r="L53" s="50" t="s">
        <v>339</v>
      </c>
      <c r="M53" s="50" t="s">
        <v>340</v>
      </c>
      <c r="N53" s="50" t="s">
        <v>339</v>
      </c>
      <c r="O53" s="50" t="s">
        <v>340</v>
      </c>
      <c r="P53" s="50" t="s">
        <v>339</v>
      </c>
      <c r="Q53" s="50" t="s">
        <v>340</v>
      </c>
    </row>
    <row r="54" spans="1:17">
      <c r="A54" s="3" t="s">
        <v>15</v>
      </c>
      <c r="B54" s="115">
        <f>+Données!B28</f>
        <v>2.8</v>
      </c>
      <c r="C54" s="3">
        <f>+B54*0.01</f>
        <v>2.7999999999999997E-2</v>
      </c>
      <c r="D54" s="75">
        <f>+'Consommations Q'!C4</f>
        <v>38647.741935483871</v>
      </c>
      <c r="E54" s="4">
        <f t="shared" ref="E54:E60" si="76">+D54*$C54</f>
        <v>1082.1367741935483</v>
      </c>
      <c r="F54" s="75">
        <f>+'Consommations Q'!H4</f>
        <v>43237.161290322583</v>
      </c>
      <c r="G54" s="4">
        <f t="shared" ref="G54:G60" si="77">+F54*$C54</f>
        <v>1210.6405161290322</v>
      </c>
      <c r="H54" s="75">
        <f>+'Consommations Q'!M4</f>
        <v>49722.735483870958</v>
      </c>
      <c r="I54" s="4">
        <f t="shared" ref="I54:I60" si="78">+H54*$C54</f>
        <v>1392.2365935483867</v>
      </c>
      <c r="J54" s="75">
        <f>+'Consommations Q'!R4</f>
        <v>57181.145806451605</v>
      </c>
      <c r="K54" s="4">
        <f t="shared" ref="K54:K60" si="79">+J54*$C54</f>
        <v>1601.0720825806447</v>
      </c>
      <c r="L54" s="75">
        <f>+'Consommations Q'!W4</f>
        <v>65758.317677419342</v>
      </c>
      <c r="M54" s="4">
        <f t="shared" ref="M54:M60" si="80">+L54*$C54</f>
        <v>1841.2328949677415</v>
      </c>
      <c r="N54" s="75">
        <f>+'Consommations Q'!AB4</f>
        <v>65482.79399999998</v>
      </c>
      <c r="O54" s="4">
        <f t="shared" ref="O54:O60" si="81">+N54*$C54</f>
        <v>1833.5182319999992</v>
      </c>
      <c r="P54" s="75">
        <f>+'Consommations Q'!AG4</f>
        <v>65482.79399999998</v>
      </c>
      <c r="Q54" s="4">
        <f t="shared" ref="Q54:Q60" si="82">+P54*$C54</f>
        <v>1833.5182319999992</v>
      </c>
    </row>
    <row r="55" spans="1:17">
      <c r="A55" s="3" t="s">
        <v>16</v>
      </c>
      <c r="B55" s="4">
        <f>+Données!B29</f>
        <v>5.0999999999999996</v>
      </c>
      <c r="C55" s="3">
        <f t="shared" ref="C55:C59" si="83">+B55*0.01</f>
        <v>5.0999999999999997E-2</v>
      </c>
      <c r="D55" s="75">
        <f>+'Consommations Q'!C5</f>
        <v>38647.741935483871</v>
      </c>
      <c r="E55" s="4">
        <f t="shared" si="76"/>
        <v>1971.0348387096774</v>
      </c>
      <c r="F55" s="75">
        <f>+'Consommations Q'!H5</f>
        <v>43237.161290322583</v>
      </c>
      <c r="G55" s="4">
        <f t="shared" si="77"/>
        <v>2205.0952258064517</v>
      </c>
      <c r="H55" s="75">
        <f>+'Consommations Q'!M5</f>
        <v>49722.735483870958</v>
      </c>
      <c r="I55" s="4">
        <f t="shared" si="78"/>
        <v>2535.8595096774188</v>
      </c>
      <c r="J55" s="75">
        <f>+'Consommations Q'!R5</f>
        <v>57181.145806451605</v>
      </c>
      <c r="K55" s="4">
        <f t="shared" si="79"/>
        <v>2916.2384361290315</v>
      </c>
      <c r="L55" s="75">
        <f>+'Consommations Q'!W5</f>
        <v>65758.317677419342</v>
      </c>
      <c r="M55" s="4">
        <f t="shared" si="80"/>
        <v>3353.674201548386</v>
      </c>
      <c r="N55" s="75">
        <f>+'Consommations Q'!AB5</f>
        <v>65482.79399999998</v>
      </c>
      <c r="O55" s="4">
        <f t="shared" si="81"/>
        <v>3339.6224939999988</v>
      </c>
      <c r="P55" s="75">
        <f>+'Consommations Q'!AG5</f>
        <v>65482.79399999998</v>
      </c>
      <c r="Q55" s="4">
        <f t="shared" si="82"/>
        <v>3339.6224939999988</v>
      </c>
    </row>
    <row r="56" spans="1:17">
      <c r="A56" s="3" t="s">
        <v>17</v>
      </c>
      <c r="B56" s="115">
        <f>+Données!B30</f>
        <v>3.8</v>
      </c>
      <c r="C56" s="3">
        <f t="shared" si="83"/>
        <v>3.7999999999999999E-2</v>
      </c>
      <c r="D56" s="75">
        <f>+'Consommations Q'!C6</f>
        <v>38647.741935483871</v>
      </c>
      <c r="E56" s="4">
        <f t="shared" si="76"/>
        <v>1468.614193548387</v>
      </c>
      <c r="F56" s="75">
        <f>+'Consommations Q'!H6</f>
        <v>43237.161290322583</v>
      </c>
      <c r="G56" s="4">
        <f t="shared" si="77"/>
        <v>1643.0121290322581</v>
      </c>
      <c r="H56" s="75">
        <f>+'Consommations Q'!M6</f>
        <v>49722.735483870958</v>
      </c>
      <c r="I56" s="4">
        <f t="shared" si="78"/>
        <v>1889.4639483870963</v>
      </c>
      <c r="J56" s="75">
        <f>+'Consommations Q'!R6</f>
        <v>57181.145806451605</v>
      </c>
      <c r="K56" s="4">
        <f t="shared" si="79"/>
        <v>2172.8835406451608</v>
      </c>
      <c r="L56" s="75">
        <f>+'Consommations Q'!W6</f>
        <v>65758.317677419342</v>
      </c>
      <c r="M56" s="4">
        <f t="shared" si="80"/>
        <v>2498.816071741935</v>
      </c>
      <c r="N56" s="75">
        <f>+'Consommations Q'!AB6</f>
        <v>65482.79399999998</v>
      </c>
      <c r="O56" s="4">
        <f t="shared" si="81"/>
        <v>2488.3461719999991</v>
      </c>
      <c r="P56" s="75">
        <f>+'Consommations Q'!AG6</f>
        <v>65482.79399999998</v>
      </c>
      <c r="Q56" s="4">
        <f t="shared" si="82"/>
        <v>2488.3461719999991</v>
      </c>
    </row>
    <row r="57" spans="1:17">
      <c r="A57" s="3" t="s">
        <v>51</v>
      </c>
      <c r="B57" s="4">
        <f>+Données!B34</f>
        <v>24</v>
      </c>
      <c r="C57" s="3">
        <f t="shared" si="83"/>
        <v>0.24</v>
      </c>
      <c r="D57" s="75">
        <f>+'Consommations Q'!C7</f>
        <v>4335.4838709677424</v>
      </c>
      <c r="E57" s="4">
        <f t="shared" si="76"/>
        <v>1040.516129032258</v>
      </c>
      <c r="F57" s="75">
        <f>+'Consommations Q'!H7</f>
        <v>4850.322580645161</v>
      </c>
      <c r="G57" s="4">
        <f t="shared" si="77"/>
        <v>1164.0774193548386</v>
      </c>
      <c r="H57" s="75">
        <f>+'Consommations Q'!M7</f>
        <v>5577.8709677419356</v>
      </c>
      <c r="I57" s="4">
        <f t="shared" si="78"/>
        <v>1338.6890322580646</v>
      </c>
      <c r="J57" s="75">
        <f>+'Consommations Q'!R7</f>
        <v>6414.5516129032249</v>
      </c>
      <c r="K57" s="4">
        <f t="shared" si="79"/>
        <v>1539.4923870967739</v>
      </c>
      <c r="L57" s="75">
        <f>+'Consommations Q'!W7</f>
        <v>7376.734354838708</v>
      </c>
      <c r="M57" s="4">
        <f t="shared" si="80"/>
        <v>1770.4162451612899</v>
      </c>
      <c r="N57" s="75">
        <f>+'Consommations Q'!AB7</f>
        <v>7345.8262499999983</v>
      </c>
      <c r="O57" s="4">
        <f t="shared" si="81"/>
        <v>1762.9982999999995</v>
      </c>
      <c r="P57" s="75">
        <f>+'Consommations Q'!AG7</f>
        <v>7345.8262499999983</v>
      </c>
      <c r="Q57" s="4">
        <f t="shared" si="82"/>
        <v>1762.9982999999995</v>
      </c>
    </row>
    <row r="58" spans="1:17">
      <c r="A58" s="3" t="s">
        <v>52</v>
      </c>
      <c r="B58" s="4">
        <f>+Données!B33</f>
        <v>24</v>
      </c>
      <c r="C58" s="3">
        <f t="shared" si="83"/>
        <v>0.24</v>
      </c>
      <c r="D58" s="75">
        <f>+'Consommations Q'!C8</f>
        <v>4335.4838709677424</v>
      </c>
      <c r="E58" s="4">
        <f t="shared" si="76"/>
        <v>1040.516129032258</v>
      </c>
      <c r="F58" s="75">
        <f>+'Consommations Q'!H8</f>
        <v>4850.322580645161</v>
      </c>
      <c r="G58" s="4">
        <f t="shared" si="77"/>
        <v>1164.0774193548386</v>
      </c>
      <c r="H58" s="75">
        <f>+'Consommations Q'!M8</f>
        <v>5577.8709677419356</v>
      </c>
      <c r="I58" s="4">
        <f t="shared" si="78"/>
        <v>1338.6890322580646</v>
      </c>
      <c r="J58" s="75">
        <f>+'Consommations Q'!R8</f>
        <v>6414.5516129032249</v>
      </c>
      <c r="K58" s="4">
        <f t="shared" si="79"/>
        <v>1539.4923870967739</v>
      </c>
      <c r="L58" s="75">
        <f>+'Consommations Q'!W8</f>
        <v>7376.734354838708</v>
      </c>
      <c r="M58" s="4">
        <f t="shared" si="80"/>
        <v>1770.4162451612899</v>
      </c>
      <c r="N58" s="75">
        <f>+'Consommations Q'!AB8</f>
        <v>7345.8262499999983</v>
      </c>
      <c r="O58" s="4">
        <f t="shared" si="81"/>
        <v>1762.9982999999995</v>
      </c>
      <c r="P58" s="75">
        <f>+'Consommations Q'!AG8</f>
        <v>7345.8262499999983</v>
      </c>
      <c r="Q58" s="4">
        <f t="shared" si="82"/>
        <v>1762.9982999999995</v>
      </c>
    </row>
    <row r="59" spans="1:17">
      <c r="A59" s="3" t="s">
        <v>53</v>
      </c>
      <c r="B59" s="4">
        <f>+Données!B32</f>
        <v>22</v>
      </c>
      <c r="C59" s="3">
        <f t="shared" si="83"/>
        <v>0.22</v>
      </c>
      <c r="D59" s="75">
        <f>+'Consommations Q'!C9</f>
        <v>4335.4838709677424</v>
      </c>
      <c r="E59" s="4">
        <f t="shared" si="76"/>
        <v>953.80645161290329</v>
      </c>
      <c r="F59" s="75">
        <f>+'Consommations Q'!H9</f>
        <v>4850.322580645161</v>
      </c>
      <c r="G59" s="4">
        <f t="shared" si="77"/>
        <v>1067.0709677419354</v>
      </c>
      <c r="H59" s="75">
        <f>+'Consommations Q'!M9</f>
        <v>5577.8709677419356</v>
      </c>
      <c r="I59" s="4">
        <f t="shared" si="78"/>
        <v>1227.1316129032259</v>
      </c>
      <c r="J59" s="75">
        <f>+'Consommations Q'!R9</f>
        <v>6414.5516129032249</v>
      </c>
      <c r="K59" s="4">
        <f t="shared" si="79"/>
        <v>1411.2013548387094</v>
      </c>
      <c r="L59" s="75">
        <f>+'Consommations Q'!W9</f>
        <v>7376.734354838708</v>
      </c>
      <c r="M59" s="4">
        <f t="shared" si="80"/>
        <v>1622.8815580645157</v>
      </c>
      <c r="N59" s="75">
        <f>+'Consommations Q'!AB9</f>
        <v>7345.8262499999983</v>
      </c>
      <c r="O59" s="4">
        <f t="shared" si="81"/>
        <v>1616.0817749999997</v>
      </c>
      <c r="P59" s="75">
        <f>+'Consommations Q'!AG9</f>
        <v>7345.8262499999983</v>
      </c>
      <c r="Q59" s="4">
        <f t="shared" si="82"/>
        <v>1616.0817749999997</v>
      </c>
    </row>
    <row r="60" spans="1:17">
      <c r="A60" s="3" t="s">
        <v>93</v>
      </c>
      <c r="B60" s="4">
        <f>+Données!B31</f>
        <v>25</v>
      </c>
      <c r="C60" s="3">
        <f>+B60*0.01</f>
        <v>0.25</v>
      </c>
      <c r="D60" s="75">
        <f>+'Consommations Q'!C10</f>
        <v>4335.4838709677424</v>
      </c>
      <c r="E60" s="4">
        <f t="shared" si="76"/>
        <v>1083.8709677419356</v>
      </c>
      <c r="F60" s="75">
        <f>+'Consommations Q'!H10</f>
        <v>4850.322580645161</v>
      </c>
      <c r="G60" s="4">
        <f t="shared" si="77"/>
        <v>1212.5806451612902</v>
      </c>
      <c r="H60" s="75">
        <f>+'Consommations Q'!M10</f>
        <v>5577.8709677419356</v>
      </c>
      <c r="I60" s="4">
        <f t="shared" si="78"/>
        <v>1394.4677419354839</v>
      </c>
      <c r="J60" s="75">
        <f>+'Consommations Q'!R10</f>
        <v>6414.5516129032249</v>
      </c>
      <c r="K60" s="4">
        <f t="shared" si="79"/>
        <v>1603.6379032258062</v>
      </c>
      <c r="L60" s="75">
        <f>+'Consommations Q'!W10</f>
        <v>7376.734354838708</v>
      </c>
      <c r="M60" s="4">
        <f t="shared" si="80"/>
        <v>1844.183588709677</v>
      </c>
      <c r="N60" s="75">
        <f>+'Consommations Q'!AB10</f>
        <v>7345.8262499999983</v>
      </c>
      <c r="O60" s="4">
        <f t="shared" si="81"/>
        <v>1836.4565624999996</v>
      </c>
      <c r="P60" s="75">
        <f>+'Consommations Q'!AG10</f>
        <v>7345.8262499999983</v>
      </c>
      <c r="Q60" s="4">
        <f t="shared" si="82"/>
        <v>1836.4565624999996</v>
      </c>
    </row>
    <row r="61" spans="1:17">
      <c r="A61" s="52" t="s">
        <v>59</v>
      </c>
      <c r="B61" s="54"/>
      <c r="C61" s="190"/>
      <c r="D61" s="190">
        <f>SUM(D54:D60)</f>
        <v>133285.16129032258</v>
      </c>
      <c r="E61" s="190">
        <f>SUM(E54:E60)</f>
        <v>8640.4954838709673</v>
      </c>
      <c r="F61" s="190">
        <f t="shared" ref="F61:M61" si="84">SUM(F54:F60)</f>
        <v>149112.77419354836</v>
      </c>
      <c r="G61" s="190">
        <f t="shared" si="84"/>
        <v>9666.554322580645</v>
      </c>
      <c r="H61" s="190">
        <f t="shared" si="84"/>
        <v>171479.69032258063</v>
      </c>
      <c r="I61" s="190">
        <f>SUM(I54:I60)</f>
        <v>11116.537470967742</v>
      </c>
      <c r="J61" s="190">
        <f t="shared" si="84"/>
        <v>197201.64387096767</v>
      </c>
      <c r="K61" s="190">
        <f t="shared" si="84"/>
        <v>12784.018091612901</v>
      </c>
      <c r="L61" s="190">
        <f>SUM(L54:L60)</f>
        <v>226781.89045161282</v>
      </c>
      <c r="M61" s="190">
        <f t="shared" si="84"/>
        <v>14701.620805354834</v>
      </c>
      <c r="N61" s="190">
        <f>SUM(N54:N60)</f>
        <v>225831.68699999986</v>
      </c>
      <c r="O61" s="190">
        <f t="shared" ref="O61" si="85">SUM(O54:O60)</f>
        <v>14640.021835499996</v>
      </c>
      <c r="P61" s="190">
        <f>SUM(P54:P60)</f>
        <v>225831.68699999986</v>
      </c>
      <c r="Q61" s="190">
        <f t="shared" ref="Q61" si="86">SUM(Q54:Q60)</f>
        <v>14640.021835499996</v>
      </c>
    </row>
    <row r="62" spans="1:17">
      <c r="C62" s="12"/>
      <c r="D62" s="12"/>
      <c r="E62" s="12"/>
      <c r="F62" s="12"/>
      <c r="G62" s="12"/>
    </row>
    <row r="63" spans="1:17">
      <c r="C63" s="12"/>
      <c r="D63" s="12"/>
      <c r="E63" s="12"/>
      <c r="F63" s="307">
        <f>+(F61-D61)/D61</f>
        <v>0.11874999999999987</v>
      </c>
      <c r="G63" s="12"/>
      <c r="H63" s="307">
        <f>+(H61-F61)/F61</f>
        <v>0.15000000000000008</v>
      </c>
      <c r="J63" s="307">
        <f>+(J61-H61)/H61</f>
        <v>0.14999999999999969</v>
      </c>
      <c r="L63" s="307">
        <f>+(L61-J61)/J61</f>
        <v>0.15</v>
      </c>
      <c r="N63" s="307">
        <f>+(N61-L61)/L61</f>
        <v>-4.1899441340784828E-3</v>
      </c>
      <c r="P63" s="307">
        <f>+(P61-N61)/N61</f>
        <v>0</v>
      </c>
    </row>
    <row r="64" spans="1:17">
      <c r="C64" s="12"/>
      <c r="D64" s="12"/>
      <c r="E64" s="12"/>
      <c r="F64" s="12"/>
      <c r="G64" s="12"/>
    </row>
    <row r="65" spans="1:14">
      <c r="C65" s="12"/>
      <c r="D65" s="12"/>
      <c r="E65" s="12"/>
      <c r="F65" s="12"/>
      <c r="G65" s="12"/>
    </row>
    <row r="66" spans="1:14">
      <c r="C66" s="12"/>
      <c r="D66" s="12"/>
      <c r="E66" s="12"/>
      <c r="F66" s="12"/>
      <c r="G66" s="12"/>
    </row>
    <row r="67" spans="1:14">
      <c r="C67" s="12"/>
      <c r="D67" s="12"/>
      <c r="E67" s="12"/>
      <c r="F67" s="12"/>
      <c r="G67" s="12"/>
    </row>
    <row r="68" spans="1:14">
      <c r="C68" s="12"/>
      <c r="D68" s="12"/>
      <c r="E68" s="12"/>
      <c r="F68" s="12"/>
      <c r="G68" s="12"/>
    </row>
    <row r="69" spans="1:14">
      <c r="C69" s="12"/>
      <c r="D69" s="12"/>
      <c r="E69" s="12"/>
      <c r="F69" s="12"/>
      <c r="G69" s="12"/>
    </row>
    <row r="70" spans="1:14" ht="12.75">
      <c r="A70" s="193"/>
      <c r="B70" s="274">
        <v>2016</v>
      </c>
      <c r="C70" s="274">
        <v>2017</v>
      </c>
      <c r="D70" s="274">
        <v>2018</v>
      </c>
      <c r="E70" s="274">
        <v>2019</v>
      </c>
      <c r="F70" s="274">
        <v>2020</v>
      </c>
      <c r="G70" s="274">
        <v>2021</v>
      </c>
      <c r="H70" s="274">
        <v>2022</v>
      </c>
      <c r="N70" s="75"/>
    </row>
    <row r="71" spans="1:14">
      <c r="A71" s="3" t="s">
        <v>336</v>
      </c>
    </row>
    <row r="72" spans="1:14">
      <c r="A72" s="3" t="s">
        <v>334</v>
      </c>
      <c r="B72" s="75">
        <f>+(D10-F10)</f>
        <v>872690.0438709677</v>
      </c>
      <c r="C72" s="11">
        <f>+I10+F10-K10</f>
        <v>976321.9865806452</v>
      </c>
      <c r="D72" s="11">
        <f>+N10+K10-P10</f>
        <v>1122770.2845677417</v>
      </c>
      <c r="E72" s="11">
        <f>+S10+P10-U10</f>
        <v>1291185.827252903</v>
      </c>
      <c r="F72" s="11">
        <f>+X10+U10-Z10</f>
        <v>1484863.7013408383</v>
      </c>
      <c r="G72" s="11">
        <f>+AC10+Z10-AE10</f>
        <v>1478642.2053854996</v>
      </c>
      <c r="H72" s="11">
        <f>+AH10+AE10-AJ10</f>
        <v>1478642.2053854996</v>
      </c>
    </row>
    <row r="73" spans="1:14">
      <c r="B73" s="75"/>
      <c r="C73" s="11"/>
      <c r="D73" s="11"/>
      <c r="E73" s="11"/>
      <c r="F73" s="11"/>
      <c r="G73" s="11"/>
      <c r="H73" s="11"/>
    </row>
    <row r="74" spans="1:14">
      <c r="A74" s="3" t="s">
        <v>20</v>
      </c>
      <c r="B74" s="75">
        <f>+D24</f>
        <v>177399.88397419354</v>
      </c>
      <c r="C74" s="75">
        <f>+I24</f>
        <v>198466.12019612899</v>
      </c>
      <c r="D74" s="75">
        <f>+N24</f>
        <v>228236.03822554837</v>
      </c>
      <c r="E74" s="75">
        <f>+S24</f>
        <v>262471.44395938062</v>
      </c>
      <c r="F74" s="75">
        <f>+X24</f>
        <v>301842.1605532876</v>
      </c>
      <c r="G74" s="75">
        <f>+AC24</f>
        <v>300577.45876325987</v>
      </c>
      <c r="H74" s="75">
        <f>+AH24</f>
        <v>300577.45876325987</v>
      </c>
    </row>
    <row r="75" spans="1:14">
      <c r="A75" s="3" t="s">
        <v>335</v>
      </c>
      <c r="B75" s="75">
        <f>+D37</f>
        <v>73306.838709677424</v>
      </c>
      <c r="C75" s="75">
        <f>+I37</f>
        <v>82012.025806451595</v>
      </c>
      <c r="D75" s="75">
        <f>+N37</f>
        <v>94313.829677419388</v>
      </c>
      <c r="E75" s="75">
        <f>+S37</f>
        <v>108460.90412903225</v>
      </c>
      <c r="F75" s="75">
        <f>+X37</f>
        <v>124730.03974838709</v>
      </c>
      <c r="G75" s="75">
        <f>+AC37</f>
        <v>124207.42784999995</v>
      </c>
      <c r="H75" s="75">
        <f>+AH37</f>
        <v>124207.42784999995</v>
      </c>
    </row>
    <row r="76" spans="1:14">
      <c r="A76" s="3" t="s">
        <v>283</v>
      </c>
      <c r="B76" s="75">
        <f t="shared" ref="B76:H76" si="87">+C47</f>
        <v>48396</v>
      </c>
      <c r="C76" s="75">
        <f t="shared" si="87"/>
        <v>55655.4</v>
      </c>
      <c r="D76" s="75">
        <f t="shared" si="87"/>
        <v>64003.709999999992</v>
      </c>
      <c r="E76" s="75">
        <f t="shared" si="87"/>
        <v>73604.266499999954</v>
      </c>
      <c r="F76" s="75">
        <f t="shared" si="87"/>
        <v>84644.906474999996</v>
      </c>
      <c r="G76" s="75">
        <f t="shared" si="87"/>
        <v>84644.906474999996</v>
      </c>
      <c r="H76" s="75">
        <f t="shared" si="87"/>
        <v>84644.906474999996</v>
      </c>
    </row>
    <row r="77" spans="1:14" ht="12.75" thickBot="1">
      <c r="A77" s="50" t="s">
        <v>337</v>
      </c>
      <c r="B77" s="194">
        <f>SUM(B72:B76)</f>
        <v>1171792.7665548385</v>
      </c>
      <c r="C77" s="194">
        <f t="shared" ref="C77:F77" si="88">SUM(C72:C76)</f>
        <v>1312455.5325832258</v>
      </c>
      <c r="D77" s="194">
        <f t="shared" si="88"/>
        <v>1509323.8624707093</v>
      </c>
      <c r="E77" s="194">
        <f t="shared" si="88"/>
        <v>1735722.4418413157</v>
      </c>
      <c r="F77" s="194">
        <f t="shared" si="88"/>
        <v>1996080.8081175133</v>
      </c>
      <c r="G77" s="194">
        <f t="shared" ref="G77:H77" si="89">SUM(G72:G76)</f>
        <v>1988071.9984737595</v>
      </c>
      <c r="H77" s="194">
        <f t="shared" si="89"/>
        <v>1988071.9984737595</v>
      </c>
    </row>
    <row r="78" spans="1:14">
      <c r="C78" s="180">
        <f t="shared" ref="C78:H78" si="90">+(C72-B72)/B72</f>
        <v>0.11875000000000011</v>
      </c>
      <c r="D78" s="180">
        <f t="shared" si="90"/>
        <v>0.14999999999999969</v>
      </c>
      <c r="E78" s="180">
        <f t="shared" si="90"/>
        <v>0.15000000000000008</v>
      </c>
      <c r="F78" s="180">
        <f t="shared" si="90"/>
        <v>0.14999999999999988</v>
      </c>
      <c r="G78" s="180">
        <f t="shared" si="90"/>
        <v>-4.1899441340782079E-3</v>
      </c>
      <c r="H78" s="180">
        <f t="shared" si="90"/>
        <v>0</v>
      </c>
    </row>
    <row r="79" spans="1:14">
      <c r="C79" s="180">
        <f t="shared" ref="C79:H81" si="91">+(C74-B74)/B74</f>
        <v>0.11874999999999984</v>
      </c>
      <c r="D79" s="180">
        <f t="shared" si="91"/>
        <v>0.15000000000000016</v>
      </c>
      <c r="E79" s="180">
        <f t="shared" si="91"/>
        <v>0.14999999999999997</v>
      </c>
      <c r="F79" s="180">
        <f t="shared" si="91"/>
        <v>0.14999999999999958</v>
      </c>
      <c r="G79" s="180">
        <f t="shared" si="91"/>
        <v>-4.189944134078168E-3</v>
      </c>
      <c r="H79" s="180">
        <f t="shared" si="91"/>
        <v>0</v>
      </c>
    </row>
    <row r="80" spans="1:14">
      <c r="C80" s="180">
        <f t="shared" si="91"/>
        <v>0.11874999999999968</v>
      </c>
      <c r="D80" s="180">
        <f t="shared" si="91"/>
        <v>0.15000000000000066</v>
      </c>
      <c r="E80" s="180">
        <f t="shared" si="91"/>
        <v>0.14999999999999949</v>
      </c>
      <c r="F80" s="180">
        <f t="shared" si="91"/>
        <v>0.15000000000000005</v>
      </c>
      <c r="G80" s="180">
        <f t="shared" si="91"/>
        <v>-4.1899441340785748E-3</v>
      </c>
      <c r="H80" s="180">
        <f t="shared" si="91"/>
        <v>0</v>
      </c>
    </row>
    <row r="81" spans="1:8">
      <c r="C81" s="180">
        <f t="shared" si="91"/>
        <v>0.15000000000000002</v>
      </c>
      <c r="D81" s="180">
        <f t="shared" si="91"/>
        <v>0.14999999999999983</v>
      </c>
      <c r="E81" s="180">
        <f t="shared" si="91"/>
        <v>0.14999999999999944</v>
      </c>
      <c r="F81" s="180">
        <f t="shared" si="91"/>
        <v>0.15000000000000066</v>
      </c>
      <c r="G81" s="180">
        <f t="shared" si="91"/>
        <v>0</v>
      </c>
      <c r="H81" s="180">
        <f t="shared" si="91"/>
        <v>0</v>
      </c>
    </row>
    <row r="82" spans="1:8">
      <c r="D82" s="59"/>
    </row>
    <row r="83" spans="1:8" ht="24.75" thickBot="1">
      <c r="A83" s="306" t="s">
        <v>151</v>
      </c>
      <c r="B83" s="306">
        <v>2016</v>
      </c>
      <c r="C83" s="306">
        <v>2017</v>
      </c>
      <c r="D83" s="306">
        <v>2018</v>
      </c>
      <c r="E83" s="306">
        <v>2019</v>
      </c>
      <c r="F83" s="306">
        <v>2020</v>
      </c>
      <c r="G83" s="306">
        <v>2021</v>
      </c>
      <c r="H83" s="306">
        <v>2022</v>
      </c>
    </row>
    <row r="84" spans="1:8" ht="12.75" thickTop="1">
      <c r="A84" s="301" t="s">
        <v>21</v>
      </c>
      <c r="B84" s="459">
        <f>+D3-F3-'Cout de production prévisionnel'!E3</f>
        <v>102184.14471950471</v>
      </c>
      <c r="C84" s="459">
        <f>+I3+F3-K3+'Cout de production prévisionnel'!E3-'Cout de production prévisionnel'!I3</f>
        <v>121207.94170792571</v>
      </c>
      <c r="D84" s="459">
        <f>+N3+K3-P3+'Cout de production prévisionnel'!I3-'Cout de production prévisionnel'!M3</f>
        <v>139389.13296411454</v>
      </c>
      <c r="E84" s="459">
        <f>+S3+P3-U3+'Cout de production prévisionnel'!M3-'Cout de production prévisionnel'!Q3</f>
        <v>160297.50290873175</v>
      </c>
      <c r="F84" s="459">
        <f>+X3+U3-Z3+'Cout de production prévisionnel'!Q3-'Cout de production prévisionnel'!U3</f>
        <v>184342.12834504148</v>
      </c>
      <c r="G84" s="459">
        <f>+AC3+Z3-AE3+'Cout de production prévisionnel'!U3-'Cout de production prévisionnel'!Y3</f>
        <v>185185.34143199993</v>
      </c>
      <c r="H84" s="459">
        <f>+AH3+AE3-AJ3+'Cout de production prévisionnel'!Y3-'Cout de production prévisionnel'!AC3</f>
        <v>185185.34143199999</v>
      </c>
    </row>
    <row r="85" spans="1:8">
      <c r="A85" s="301" t="s">
        <v>22</v>
      </c>
      <c r="B85" s="459">
        <f>+D4-F4-'Cout de production prévisionnel'!E4</f>
        <v>189036.49052595632</v>
      </c>
      <c r="C85" s="459">
        <f>+I4+F4-K4+'Cout de production prévisionnel'!E4-'Cout de production prévisionnel'!I4</f>
        <v>221208.91357889344</v>
      </c>
      <c r="D85" s="459">
        <f>+N4+K4-P4+'Cout de production prévisionnel'!I4-'Cout de production prévisionnel'!M4</f>
        <v>254390.25061572739</v>
      </c>
      <c r="E85" s="459">
        <f>+S4+P4-U4+'Cout de production prévisionnel'!M4-'Cout de production prévisionnel'!Q4</f>
        <v>292548.78820808657</v>
      </c>
      <c r="F85" s="459">
        <f>+X4+U4-Z4+'Cout de production prévisionnel'!Q4-'Cout de production prévisionnel'!U4</f>
        <v>336431.10643929947</v>
      </c>
      <c r="G85" s="459">
        <f>+AC4+Z4-AE4+'Cout de production prévisionnel'!U4-'Cout de production prévisionnel'!Y4</f>
        <v>337301.87189399992</v>
      </c>
      <c r="H85" s="459">
        <f>+AH4+AE4-AJ4+'Cout de production prévisionnel'!Y4-'Cout de production prévisionnel'!AC4</f>
        <v>337301.87189399992</v>
      </c>
    </row>
    <row r="86" spans="1:8">
      <c r="A86" s="301" t="s">
        <v>17</v>
      </c>
      <c r="B86" s="459">
        <f>+D5-F5-'Cout de production prévisionnel'!E5</f>
        <v>139938.1576227305</v>
      </c>
      <c r="C86" s="459">
        <f>+I5+F5-K5+'Cout de production prévisionnel'!E5-'Cout de production prévisionnel'!I5</f>
        <v>164685.44364340958</v>
      </c>
      <c r="D86" s="459">
        <f>+N5+K5-P5+'Cout de production prévisionnel'!I5-'Cout de production prévisionnel'!M5</f>
        <v>189388.26018992095</v>
      </c>
      <c r="E86" s="459">
        <f>+S5+P5-U5+'Cout de production prévisionnel'!M5-'Cout de production prévisionnel'!Q5</f>
        <v>217796.49921840912</v>
      </c>
      <c r="F86" s="459">
        <f>+X5+U5-Z5+'Cout de production prévisionnel'!Q5-'Cout de production prévisionnel'!U5</f>
        <v>250465.97410117046</v>
      </c>
      <c r="G86" s="459">
        <f>+AC5+Z5-AE5+'Cout de production prévisionnel'!U5-'Cout de production prévisionnel'!Y5</f>
        <v>251322.96337199994</v>
      </c>
      <c r="H86" s="459">
        <f>+AH5+AE5-AJ5+'Cout de production prévisionnel'!Y5-'Cout de production prévisionnel'!AC5</f>
        <v>251322.96337199994</v>
      </c>
    </row>
    <row r="87" spans="1:8">
      <c r="A87" s="301" t="s">
        <v>448</v>
      </c>
      <c r="B87" s="459">
        <f>+D6-F6-'Cout de production prévisionnel'!E6</f>
        <v>101308.68753315372</v>
      </c>
      <c r="C87" s="459">
        <f>+I6+F6-K6+'Cout de production prévisionnel'!E6-'Cout de production prévisionnel'!I6</f>
        <v>117004.30312997304</v>
      </c>
      <c r="D87" s="459">
        <f>+N6+K6-P6+'Cout de production prévisionnel'!I6-'Cout de production prévisionnel'!M6</f>
        <v>134554.948599469</v>
      </c>
      <c r="E87" s="459">
        <f>+S6+P6-U6+'Cout de production prévisionnel'!M6-'Cout de production prévisionnel'!Q6</f>
        <v>154738.19088938937</v>
      </c>
      <c r="F87" s="459">
        <f>+X6+U6-Z6+'Cout de production prévisionnel'!Q6-'Cout de production prévisionnel'!U6</f>
        <v>177948.91952279772</v>
      </c>
      <c r="G87" s="459">
        <f>+AC6+Z6-AE6+'Cout de production prévisionnel'!U6-'Cout de production prévisionnel'!Y6</f>
        <v>178062.82829999999</v>
      </c>
      <c r="H87" s="459">
        <f>+AH6+AE6-AJ6+'Cout de production prévisionnel'!Y6-'Cout de production prévisionnel'!AC6</f>
        <v>178062.82829999994</v>
      </c>
    </row>
    <row r="88" spans="1:8">
      <c r="A88" s="301" t="s">
        <v>449</v>
      </c>
      <c r="B88" s="459">
        <f>+D7-F7-'Cout de production prévisionnel'!E7</f>
        <v>101308.68753315372</v>
      </c>
      <c r="C88" s="459">
        <f>+I7+F7-K7+'Cout de production prévisionnel'!E7-'Cout de production prévisionnel'!I7</f>
        <v>117004.30312997304</v>
      </c>
      <c r="D88" s="459">
        <f>+N7+K7-P7+'Cout de production prévisionnel'!I7-'Cout de production prévisionnel'!M7</f>
        <v>134554.948599469</v>
      </c>
      <c r="E88" s="459">
        <f>+S7+P7-U7+'Cout de production prévisionnel'!M7-'Cout de production prévisionnel'!Q7</f>
        <v>154738.19088938937</v>
      </c>
      <c r="F88" s="459">
        <f>+X7+U7-Z7+'Cout de production prévisionnel'!Q7-'Cout de production prévisionnel'!U7</f>
        <v>177948.91952279772</v>
      </c>
      <c r="G88" s="459">
        <f>+AC7+Z7-AE7+'Cout de production prévisionnel'!U7-'Cout de production prévisionnel'!Y7</f>
        <v>178062.82829999999</v>
      </c>
      <c r="H88" s="459">
        <f>+AH7+AE7-AJ7+'Cout de production prévisionnel'!Y7-'Cout de production prévisionnel'!AC7</f>
        <v>178062.82829999994</v>
      </c>
    </row>
    <row r="89" spans="1:8">
      <c r="A89" s="301" t="s">
        <v>457</v>
      </c>
      <c r="B89" s="459">
        <f>+D8-F8-'Cout de production prévisionnel'!E8</f>
        <v>92824.687533153701</v>
      </c>
      <c r="C89" s="459">
        <f>+I8+F8-K8+'Cout de production prévisionnel'!E8-'Cout de production prévisionnel'!I8</f>
        <v>107247.70312997306</v>
      </c>
      <c r="D89" s="459">
        <f>+N8+K8-P8+'Cout de production prévisionnel'!I8-'Cout de production prévisionnel'!M8</f>
        <v>123334.85859946902</v>
      </c>
      <c r="E89" s="459">
        <f>+S8+P8-U8+'Cout de production prévisionnel'!M8-'Cout de production prévisionnel'!Q8</f>
        <v>141835.08738938934</v>
      </c>
      <c r="F89" s="459">
        <f>+X8+U8-Z8+'Cout de production prévisionnel'!Q8-'Cout de production prévisionnel'!U8</f>
        <v>163110.35049779777</v>
      </c>
      <c r="G89" s="459">
        <f>+AC8+Z8-AE8+'Cout de production prévisionnel'!U8-'Cout de production prévisionnel'!Y8</f>
        <v>163224.25927499996</v>
      </c>
      <c r="H89" s="459">
        <f>+AH8+AE8-AJ8+'Cout de production prévisionnel'!Y8-'Cout de production prévisionnel'!AC8</f>
        <v>163224.25927499996</v>
      </c>
    </row>
    <row r="90" spans="1:8">
      <c r="A90" s="301" t="s">
        <v>23</v>
      </c>
      <c r="B90" s="459">
        <f>+D9-F9-'Cout de production prévisionnel'!E9</f>
        <v>105550.68753315372</v>
      </c>
      <c r="C90" s="459">
        <f>+I9+F9-K9+'Cout de production prévisionnel'!E9-'Cout de production prévisionnel'!I9</f>
        <v>121882.60312997305</v>
      </c>
      <c r="D90" s="459">
        <f>+N9+K9-P9+'Cout de production prévisionnel'!I9-'Cout de production prévisionnel'!M9</f>
        <v>140164.99359946902</v>
      </c>
      <c r="E90" s="459">
        <f>+S9+P9-U9+'Cout de production prévisionnel'!M9-'Cout de production prévisionnel'!Q9</f>
        <v>161189.74263938935</v>
      </c>
      <c r="F90" s="459">
        <f>+X9+U9-Z9+'Cout de production prévisionnel'!Q9-'Cout de production prévisionnel'!U9</f>
        <v>185368.20403529773</v>
      </c>
      <c r="G90" s="459">
        <f>+AC9+Z9-AE9+'Cout de production prévisionnel'!U9-'Cout de production prévisionnel'!Y9</f>
        <v>185482.11281249995</v>
      </c>
      <c r="H90" s="459">
        <f>+AH9+AE9-AJ9+'Cout de production prévisionnel'!Y9-'Cout de production prévisionnel'!AC9</f>
        <v>185482.11281249995</v>
      </c>
    </row>
    <row r="91" spans="1:8" s="15" customFormat="1">
      <c r="A91" s="303" t="s">
        <v>454</v>
      </c>
      <c r="B91" s="460">
        <f>SUM(B84:B90)</f>
        <v>832151.54300080624</v>
      </c>
      <c r="C91" s="460">
        <f t="shared" ref="C91:F91" si="92">SUM(C84:C90)</f>
        <v>970241.2114501209</v>
      </c>
      <c r="D91" s="460">
        <f t="shared" si="92"/>
        <v>1115777.3931676392</v>
      </c>
      <c r="E91" s="460">
        <f t="shared" si="92"/>
        <v>1283144.0021427849</v>
      </c>
      <c r="F91" s="460">
        <f t="shared" si="92"/>
        <v>1475615.6024642023</v>
      </c>
      <c r="G91" s="460">
        <f>SUM(G84:G90)</f>
        <v>1478642.2053854996</v>
      </c>
      <c r="H91" s="460">
        <f>SUM(H84:H90)</f>
        <v>1478642.2053854996</v>
      </c>
    </row>
    <row r="92" spans="1:8">
      <c r="A92" s="301" t="s">
        <v>452</v>
      </c>
      <c r="B92" s="459">
        <f>+D24</f>
        <v>177399.88397419354</v>
      </c>
      <c r="C92" s="459">
        <f>+I24</f>
        <v>198466.12019612899</v>
      </c>
      <c r="D92" s="459">
        <f>+N24</f>
        <v>228236.03822554837</v>
      </c>
      <c r="E92" s="459">
        <f>+S24</f>
        <v>262471.44395938062</v>
      </c>
      <c r="F92" s="459">
        <f>+X24</f>
        <v>301842.1605532876</v>
      </c>
      <c r="G92" s="459">
        <f>+AC24</f>
        <v>300577.45876325987</v>
      </c>
      <c r="H92" s="459">
        <f>+AH24</f>
        <v>300577.45876325987</v>
      </c>
    </row>
    <row r="93" spans="1:8">
      <c r="A93" s="301" t="s">
        <v>19</v>
      </c>
      <c r="B93" s="459">
        <f>+D37</f>
        <v>73306.838709677424</v>
      </c>
      <c r="C93" s="459">
        <f>+I37</f>
        <v>82012.025806451595</v>
      </c>
      <c r="D93" s="459">
        <f>+N37</f>
        <v>94313.829677419388</v>
      </c>
      <c r="E93" s="459">
        <f>+S37</f>
        <v>108460.90412903225</v>
      </c>
      <c r="F93" s="459">
        <f>+X37</f>
        <v>124730.03974838709</v>
      </c>
      <c r="G93" s="459">
        <f>+AC37</f>
        <v>124207.42784999995</v>
      </c>
      <c r="H93" s="459">
        <f>+AH37</f>
        <v>124207.42784999995</v>
      </c>
    </row>
    <row r="94" spans="1:8">
      <c r="A94" s="301" t="s">
        <v>453</v>
      </c>
      <c r="B94" s="459">
        <f>+C47</f>
        <v>48396</v>
      </c>
      <c r="C94" s="459">
        <f t="shared" ref="C94:F94" si="93">+D47</f>
        <v>55655.4</v>
      </c>
      <c r="D94" s="459">
        <f t="shared" si="93"/>
        <v>64003.709999999992</v>
      </c>
      <c r="E94" s="459">
        <f t="shared" si="93"/>
        <v>73604.266499999954</v>
      </c>
      <c r="F94" s="459">
        <f t="shared" si="93"/>
        <v>84644.906474999996</v>
      </c>
      <c r="G94" s="459">
        <f>+H47</f>
        <v>84644.906474999996</v>
      </c>
      <c r="H94" s="459">
        <f t="shared" ref="H94" si="94">+I47</f>
        <v>84644.906474999996</v>
      </c>
    </row>
    <row r="95" spans="1:8" s="15" customFormat="1">
      <c r="A95" s="303" t="s">
        <v>455</v>
      </c>
      <c r="B95" s="460">
        <f>SUM(B92:B94)</f>
        <v>299102.72268387093</v>
      </c>
      <c r="C95" s="460">
        <f t="shared" ref="C95:F95" si="95">SUM(C92:C94)</f>
        <v>336133.54600258061</v>
      </c>
      <c r="D95" s="460">
        <f t="shared" si="95"/>
        <v>386553.57790296769</v>
      </c>
      <c r="E95" s="460">
        <f t="shared" si="95"/>
        <v>444536.61458841286</v>
      </c>
      <c r="F95" s="460">
        <f t="shared" si="95"/>
        <v>511217.10677667463</v>
      </c>
      <c r="G95" s="460">
        <f>SUM(G92:G94)</f>
        <v>509429.79308825976</v>
      </c>
      <c r="H95" s="460">
        <f>SUM(H92:H94)</f>
        <v>509429.79308825976</v>
      </c>
    </row>
    <row r="96" spans="1:8">
      <c r="A96" s="301"/>
      <c r="B96" s="459"/>
      <c r="C96" s="459"/>
      <c r="D96" s="459"/>
      <c r="E96" s="459"/>
      <c r="F96" s="459"/>
      <c r="G96" s="459"/>
      <c r="H96" s="459"/>
    </row>
    <row r="97" spans="1:8" s="15" customFormat="1">
      <c r="A97" s="303" t="s">
        <v>456</v>
      </c>
      <c r="B97" s="460">
        <f>+B95+B91</f>
        <v>1131254.2656846773</v>
      </c>
      <c r="C97" s="460">
        <f t="shared" ref="C97:F97" si="96">+C95+C91</f>
        <v>1306374.7574527015</v>
      </c>
      <c r="D97" s="460">
        <f t="shared" si="96"/>
        <v>1502330.9710706067</v>
      </c>
      <c r="E97" s="460">
        <f t="shared" si="96"/>
        <v>1727680.6167311978</v>
      </c>
      <c r="F97" s="460">
        <f t="shared" si="96"/>
        <v>1986832.7092408771</v>
      </c>
      <c r="G97" s="460">
        <f>+G95+G91</f>
        <v>1988071.9984737593</v>
      </c>
      <c r="H97" s="460">
        <f t="shared" ref="H97" si="97">+H95+H91</f>
        <v>1988071.9984737593</v>
      </c>
    </row>
    <row r="98" spans="1:8" s="15" customFormat="1">
      <c r="B98" s="275">
        <f>+B97+'P&amp;L'!C19+'P&amp;L'!C18</f>
        <v>7.2759576141834259E-11</v>
      </c>
      <c r="C98" s="275">
        <f>+C97+'P&amp;L'!E19+'P&amp;L'!E18</f>
        <v>-1.0913936421275139E-10</v>
      </c>
      <c r="D98" s="275">
        <f>+D97+'P&amp;L'!G19+'P&amp;L'!G18</f>
        <v>2.9831426218152046E-10</v>
      </c>
      <c r="E98" s="275">
        <f>+E97+'P&amp;L'!I19+'P&amp;L'!I18</f>
        <v>3.2741809263825417E-10</v>
      </c>
      <c r="F98" s="275">
        <f>+F97+'P&amp;L'!K19+'P&amp;L'!K18</f>
        <v>-2.6921043172478676E-10</v>
      </c>
      <c r="G98" s="275">
        <f>+G97+'P&amp;L'!M19+'P&amp;L'!M18</f>
        <v>-2.3283064365386963E-10</v>
      </c>
      <c r="H98" s="275">
        <f>+H97+'P&amp;L'!O19+'P&amp;L'!O18</f>
        <v>-2.3283064365386963E-10</v>
      </c>
    </row>
  </sheetData>
  <mergeCells count="34">
    <mergeCell ref="N52:O52"/>
    <mergeCell ref="P52:Q52"/>
    <mergeCell ref="AA1:AE1"/>
    <mergeCell ref="AF1:AJ1"/>
    <mergeCell ref="AA14:AE14"/>
    <mergeCell ref="AF14:AJ14"/>
    <mergeCell ref="AA27:AE27"/>
    <mergeCell ref="AF27:AJ27"/>
    <mergeCell ref="V14:Z14"/>
    <mergeCell ref="Q14:U14"/>
    <mergeCell ref="J52:K52"/>
    <mergeCell ref="L52:M52"/>
    <mergeCell ref="B28:D28"/>
    <mergeCell ref="E28:F28"/>
    <mergeCell ref="J28:L28"/>
    <mergeCell ref="D52:E52"/>
    <mergeCell ref="F52:G52"/>
    <mergeCell ref="H52:I52"/>
    <mergeCell ref="B27:F27"/>
    <mergeCell ref="G27:K27"/>
    <mergeCell ref="L27:P27"/>
    <mergeCell ref="Q27:U27"/>
    <mergeCell ref="V27:Z27"/>
    <mergeCell ref="E15:F15"/>
    <mergeCell ref="B14:F14"/>
    <mergeCell ref="G14:K14"/>
    <mergeCell ref="B15:D15"/>
    <mergeCell ref="J15:L15"/>
    <mergeCell ref="L14:P14"/>
    <mergeCell ref="B1:F1"/>
    <mergeCell ref="G1:K1"/>
    <mergeCell ref="L1:P1"/>
    <mergeCell ref="Q1:U1"/>
    <mergeCell ref="V1:Z1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2:K37"/>
  <sheetViews>
    <sheetView workbookViewId="0">
      <selection activeCell="C17" sqref="C17"/>
    </sheetView>
  </sheetViews>
  <sheetFormatPr baseColWidth="10" defaultRowHeight="12"/>
  <cols>
    <col min="1" max="1" width="20.85546875" style="3" bestFit="1" customWidth="1"/>
    <col min="2" max="2" width="11.42578125" style="3"/>
    <col min="3" max="3" width="5.7109375" style="3" bestFit="1" customWidth="1"/>
    <col min="4" max="4" width="12" style="3" bestFit="1" customWidth="1"/>
    <col min="5" max="5" width="11.42578125" style="3" bestFit="1" customWidth="1"/>
    <col min="6" max="6" width="11.28515625" style="3" bestFit="1" customWidth="1"/>
    <col min="7" max="7" width="11.5703125" style="3" customWidth="1"/>
    <col min="8" max="8" width="16.5703125" style="3" bestFit="1" customWidth="1"/>
    <col min="9" max="9" width="16.42578125" style="3" bestFit="1" customWidth="1"/>
    <col min="10" max="10" width="9.140625" style="3" customWidth="1"/>
    <col min="11" max="11" width="11.5703125" style="3" customWidth="1"/>
    <col min="12" max="16384" width="11.42578125" style="3"/>
  </cols>
  <sheetData>
    <row r="2" spans="1:11" ht="12.75" thickBot="1">
      <c r="A2" s="50"/>
      <c r="B2" s="51" t="s">
        <v>118</v>
      </c>
      <c r="C2" s="50" t="s">
        <v>13</v>
      </c>
      <c r="D2" s="50" t="s">
        <v>119</v>
      </c>
      <c r="E2" s="50" t="s">
        <v>116</v>
      </c>
      <c r="F2" s="50" t="s">
        <v>117</v>
      </c>
      <c r="G2" s="50" t="s">
        <v>133</v>
      </c>
      <c r="H2" s="50" t="s">
        <v>134</v>
      </c>
      <c r="I2" s="50" t="s">
        <v>135</v>
      </c>
    </row>
    <row r="3" spans="1:11">
      <c r="A3" s="3" t="s">
        <v>15</v>
      </c>
      <c r="B3" s="11">
        <f>+'Calcul Coût Ption'!B2/12*13+'Calcul Coût Ption'!B2*'Achat Matière'!G3</f>
        <v>42254.864516129026</v>
      </c>
      <c r="C3" s="116">
        <f>+Données!B28</f>
        <v>2.8</v>
      </c>
      <c r="D3" s="13">
        <f>+B3*C3</f>
        <v>118313.62064516127</v>
      </c>
      <c r="E3" s="11">
        <f>+B3-'Calcul Coût Ption'!B2</f>
        <v>3607.1225806451548</v>
      </c>
      <c r="F3" s="11">
        <f>+C3*E3</f>
        <v>10099.943225806433</v>
      </c>
      <c r="G3" s="59">
        <v>0.01</v>
      </c>
      <c r="H3" s="11">
        <f>+'Calcul Coût Ption'!B2*'Achat Matière'!G3*C3</f>
        <v>1082.1367741935483</v>
      </c>
      <c r="I3" s="11">
        <f>+F3-H3</f>
        <v>9017.8064516128852</v>
      </c>
      <c r="J3" s="11"/>
      <c r="K3" s="11"/>
    </row>
    <row r="4" spans="1:11">
      <c r="A4" s="3" t="s">
        <v>16</v>
      </c>
      <c r="B4" s="11">
        <f>+'Calcul Coût Ption'!B3/12*13+'Calcul Coût Ption'!B3*'Achat Matière'!G4</f>
        <v>42254.864516129026</v>
      </c>
      <c r="C4" s="3">
        <f>+Données!B29</f>
        <v>5.0999999999999996</v>
      </c>
      <c r="D4" s="13">
        <f>+B4*C4</f>
        <v>215499.80903225802</v>
      </c>
      <c r="E4" s="11">
        <f>+B4-'Calcul Coût Ption'!B3</f>
        <v>3607.1225806451548</v>
      </c>
      <c r="F4" s="11">
        <f t="shared" ref="F4:F9" si="0">+C4*E4</f>
        <v>18396.32516129029</v>
      </c>
      <c r="G4" s="59">
        <v>0.01</v>
      </c>
      <c r="H4" s="11">
        <f>+'Calcul Coût Ption'!B3*'Achat Matière'!G4*C4</f>
        <v>1971.0348387096774</v>
      </c>
      <c r="I4" s="11">
        <f t="shared" ref="I4:I9" si="1">+F4-H4</f>
        <v>16425.290322580611</v>
      </c>
    </row>
    <row r="5" spans="1:11">
      <c r="A5" s="3" t="s">
        <v>17</v>
      </c>
      <c r="B5" s="11">
        <f>+'Calcul Coût Ption'!B4/12*13+'Calcul Coût Ption'!B4*'Achat Matière'!G5</f>
        <v>42254.864516129026</v>
      </c>
      <c r="C5" s="116">
        <f>+Données!B30</f>
        <v>3.8</v>
      </c>
      <c r="D5" s="13">
        <f>+B5*C5</f>
        <v>160568.4851612903</v>
      </c>
      <c r="E5" s="11">
        <f>+B5-'Calcul Coût Ption'!B4</f>
        <v>3607.1225806451548</v>
      </c>
      <c r="F5" s="11">
        <f t="shared" si="0"/>
        <v>13707.065806451588</v>
      </c>
      <c r="G5" s="59">
        <v>0.01</v>
      </c>
      <c r="H5" s="11">
        <f>+'Calcul Coût Ption'!B4*'Achat Matière'!G5*C5</f>
        <v>1468.614193548387</v>
      </c>
      <c r="I5" s="11">
        <f t="shared" si="1"/>
        <v>12238.451612903202</v>
      </c>
    </row>
    <row r="6" spans="1:11">
      <c r="A6" s="3" t="s">
        <v>51</v>
      </c>
      <c r="B6" s="11">
        <f>+'Calcul Coût Ption'!B5/12*13+'Calcul Coût Ption'!B5*'Achat Matière'!G6</f>
        <v>4740.1290322580644</v>
      </c>
      <c r="C6" s="3">
        <f>+Données!B34</f>
        <v>24</v>
      </c>
      <c r="D6" s="13">
        <f t="shared" ref="D6:D8" si="2">+B6*C6</f>
        <v>113763.09677419355</v>
      </c>
      <c r="E6" s="11">
        <f>+B6-'Calcul Coût Ption'!B5</f>
        <v>404.64516129032199</v>
      </c>
      <c r="F6" s="11">
        <f t="shared" si="0"/>
        <v>9711.4838709677279</v>
      </c>
      <c r="G6" s="59">
        <v>0.01</v>
      </c>
      <c r="H6" s="11">
        <f>+'Calcul Coût Ption'!B5*'Achat Matière'!G6*C6</f>
        <v>1040.516129032258</v>
      </c>
      <c r="I6" s="11">
        <f t="shared" si="1"/>
        <v>8670.9677419354703</v>
      </c>
    </row>
    <row r="7" spans="1:11">
      <c r="A7" s="3" t="s">
        <v>52</v>
      </c>
      <c r="B7" s="11">
        <f>+'Calcul Coût Ption'!B6/12*13+'Calcul Coût Ption'!B6*'Achat Matière'!G7</f>
        <v>4740.1290322580644</v>
      </c>
      <c r="C7" s="3">
        <f>+Données!B33</f>
        <v>24</v>
      </c>
      <c r="D7" s="13">
        <f t="shared" si="2"/>
        <v>113763.09677419355</v>
      </c>
      <c r="E7" s="11">
        <f>+B7-'Calcul Coût Ption'!B6</f>
        <v>404.64516129032199</v>
      </c>
      <c r="F7" s="11">
        <f t="shared" si="0"/>
        <v>9711.4838709677279</v>
      </c>
      <c r="G7" s="59">
        <v>0.01</v>
      </c>
      <c r="H7" s="11">
        <f>+'Calcul Coût Ption'!B6*'Achat Matière'!G7*C7</f>
        <v>1040.516129032258</v>
      </c>
      <c r="I7" s="11">
        <f t="shared" si="1"/>
        <v>8670.9677419354703</v>
      </c>
    </row>
    <row r="8" spans="1:11">
      <c r="A8" s="3" t="s">
        <v>53</v>
      </c>
      <c r="B8" s="11">
        <f>+'Calcul Coût Ption'!B7/12*13+'Calcul Coût Ption'!B7*'Achat Matière'!G8</f>
        <v>4740.1290322580644</v>
      </c>
      <c r="C8" s="11">
        <f>+Données!B32</f>
        <v>22</v>
      </c>
      <c r="D8" s="13">
        <f t="shared" si="2"/>
        <v>104282.83870967742</v>
      </c>
      <c r="E8" s="11">
        <f>+B8-'Calcul Coût Ption'!B7</f>
        <v>404.64516129032199</v>
      </c>
      <c r="F8" s="11">
        <f t="shared" si="0"/>
        <v>8902.1935483870839</v>
      </c>
      <c r="G8" s="59">
        <v>0.01</v>
      </c>
      <c r="H8" s="11">
        <f>+'Calcul Coût Ption'!B7*'Achat Matière'!G8*C8</f>
        <v>953.80645161290329</v>
      </c>
      <c r="I8" s="11">
        <f t="shared" si="1"/>
        <v>7948.3870967741805</v>
      </c>
    </row>
    <row r="9" spans="1:11">
      <c r="A9" s="3" t="s">
        <v>93</v>
      </c>
      <c r="B9" s="11">
        <f>+'Calcul Coût Ption'!B8/12*13+'Calcul Coût Ption'!B8*'Achat Matière'!G9</f>
        <v>4740.1290322580644</v>
      </c>
      <c r="C9" s="11">
        <f>+Données!B31</f>
        <v>25</v>
      </c>
      <c r="D9" s="13">
        <f>+B9*C9</f>
        <v>118503.22580645161</v>
      </c>
      <c r="E9" s="11">
        <f>+B9-'Calcul Coût Ption'!B8</f>
        <v>404.64516129032199</v>
      </c>
      <c r="F9" s="11">
        <f t="shared" si="0"/>
        <v>10116.12903225805</v>
      </c>
      <c r="G9" s="59">
        <v>0.01</v>
      </c>
      <c r="H9" s="11">
        <f>+'Calcul Coût Ption'!B8*'Achat Matière'!G9*C9</f>
        <v>1083.8709677419356</v>
      </c>
      <c r="I9" s="11">
        <f t="shared" si="1"/>
        <v>9032.2580645161142</v>
      </c>
    </row>
    <row r="10" spans="1:11">
      <c r="A10" s="52" t="s">
        <v>59</v>
      </c>
      <c r="B10" s="53">
        <f>SUM(B3:B9)</f>
        <v>145725.10967741933</v>
      </c>
      <c r="C10" s="54"/>
      <c r="D10" s="53">
        <f>SUM(D3:D9)</f>
        <v>944694.17290322587</v>
      </c>
      <c r="E10" s="53">
        <f>SUM(E3:E9)</f>
        <v>12439.948387096752</v>
      </c>
      <c r="F10" s="53">
        <f>SUM(F3:F9)</f>
        <v>80644.624516128897</v>
      </c>
      <c r="G10" s="53"/>
      <c r="H10" s="53">
        <f>SUM(H3:H9)</f>
        <v>8640.4954838709673</v>
      </c>
      <c r="I10" s="53">
        <f t="shared" ref="I10" si="3">SUM(I3:I9)</f>
        <v>72004.129032257944</v>
      </c>
      <c r="K10" s="11">
        <f>+D10-F10</f>
        <v>864049.54838709696</v>
      </c>
    </row>
    <row r="12" spans="1:11">
      <c r="A12" s="31"/>
      <c r="B12" s="478" t="s">
        <v>20</v>
      </c>
      <c r="C12" s="478"/>
      <c r="D12" s="478"/>
      <c r="E12" s="478" t="s">
        <v>19</v>
      </c>
      <c r="F12" s="478"/>
      <c r="G12" s="478"/>
      <c r="H12" s="52" t="s">
        <v>33</v>
      </c>
      <c r="I12" s="52" t="s">
        <v>34</v>
      </c>
      <c r="J12" s="52" t="s">
        <v>35</v>
      </c>
      <c r="K12" s="52" t="s">
        <v>59</v>
      </c>
    </row>
    <row r="13" spans="1:11" ht="12.75" thickBot="1">
      <c r="A13" s="50"/>
      <c r="B13" s="51" t="s">
        <v>12</v>
      </c>
      <c r="C13" s="50" t="s">
        <v>13</v>
      </c>
      <c r="D13" s="50" t="s">
        <v>14</v>
      </c>
      <c r="E13" s="51" t="s">
        <v>12</v>
      </c>
      <c r="F13" s="50" t="s">
        <v>13</v>
      </c>
      <c r="G13" s="50" t="s">
        <v>14</v>
      </c>
      <c r="H13" s="50"/>
      <c r="I13" s="50"/>
      <c r="J13" s="50"/>
      <c r="K13" s="50"/>
    </row>
    <row r="14" spans="1:11">
      <c r="A14" s="3" t="s">
        <v>54</v>
      </c>
      <c r="B14" s="11">
        <f>+('Calcul Coût Ption'!B2*60/1000)/12*13</f>
        <v>2512.1032258064515</v>
      </c>
      <c r="C14" s="4">
        <f>+Données!$B$35</f>
        <v>22.183</v>
      </c>
      <c r="D14" s="13">
        <f>+B14*C14</f>
        <v>55725.985858064516</v>
      </c>
      <c r="E14" s="11">
        <f>+('Calcul Coût Ption'!B2*0.05)/12*13</f>
        <v>2093.4193548387098</v>
      </c>
      <c r="F14" s="11">
        <f>+Données!$B$17</f>
        <v>11</v>
      </c>
      <c r="G14" s="13">
        <f>+E14*F14</f>
        <v>23027.612903225807</v>
      </c>
      <c r="H14" s="13">
        <f>+'Chiffre d''affaire'!G3*0.04</f>
        <v>14976</v>
      </c>
      <c r="I14" s="13">
        <f>+'Chiffre d''affaire'!G3*0.02</f>
        <v>7488</v>
      </c>
      <c r="J14" s="13">
        <f>+'Chiffre d''affaire'!G3*0.01</f>
        <v>3744</v>
      </c>
      <c r="K14" s="13">
        <f>+D14+G14+H14+I14+J14</f>
        <v>104961.59876129033</v>
      </c>
    </row>
    <row r="15" spans="1:11">
      <c r="A15" s="3" t="s">
        <v>22</v>
      </c>
      <c r="B15" s="11">
        <f>+('Calcul Coût Ption'!B3*60/1000)/12*13</f>
        <v>2512.1032258064515</v>
      </c>
      <c r="C15" s="4">
        <f>+Données!$B$35</f>
        <v>22.183</v>
      </c>
      <c r="D15" s="13">
        <f t="shared" ref="D15:D20" si="4">+B15*C15</f>
        <v>55725.985858064516</v>
      </c>
      <c r="E15" s="11">
        <f>+('Calcul Coût Ption'!B3*0.05)/12*13</f>
        <v>2093.4193548387098</v>
      </c>
      <c r="F15" s="11">
        <f>+Données!$B$17</f>
        <v>11</v>
      </c>
      <c r="G15" s="13">
        <f t="shared" ref="G15:G20" si="5">+E15*F15</f>
        <v>23027.612903225807</v>
      </c>
      <c r="H15" s="13">
        <f>+'Chiffre d''affaire'!G4*0.04</f>
        <v>20966.400000000001</v>
      </c>
      <c r="I15" s="13">
        <f>+'Chiffre d''affaire'!G4*0.02</f>
        <v>10483.200000000001</v>
      </c>
      <c r="J15" s="13">
        <f>+'Chiffre d''affaire'!G4*0.01</f>
        <v>5241.6000000000004</v>
      </c>
      <c r="K15" s="13">
        <f t="shared" ref="K15:K20" si="6">+D15+G15+H15+I15+J15</f>
        <v>115444.79876129034</v>
      </c>
    </row>
    <row r="16" spans="1:11">
      <c r="A16" s="3" t="s">
        <v>17</v>
      </c>
      <c r="B16" s="11">
        <f>+('Calcul Coût Ption'!B4*60/1000)/12*13</f>
        <v>2512.1032258064515</v>
      </c>
      <c r="C16" s="4">
        <f>+Données!$B$35</f>
        <v>22.183</v>
      </c>
      <c r="D16" s="13">
        <f t="shared" si="4"/>
        <v>55725.985858064516</v>
      </c>
      <c r="E16" s="11">
        <f>+('Calcul Coût Ption'!B4*0.05)/12*13</f>
        <v>2093.4193548387098</v>
      </c>
      <c r="F16" s="11">
        <f>+Données!$B$17</f>
        <v>11</v>
      </c>
      <c r="G16" s="13">
        <f t="shared" si="5"/>
        <v>23027.612903225807</v>
      </c>
      <c r="H16" s="13">
        <f>+'Chiffre d''affaire'!G5*0.04</f>
        <v>17971.2</v>
      </c>
      <c r="I16" s="13">
        <f>+'Chiffre d''affaire'!G5*0.02</f>
        <v>8985.6</v>
      </c>
      <c r="J16" s="13">
        <f>+'Chiffre d''affaire'!G5*0.01</f>
        <v>4492.8</v>
      </c>
      <c r="K16" s="13">
        <f t="shared" si="6"/>
        <v>110203.19876129033</v>
      </c>
    </row>
    <row r="17" spans="1:11">
      <c r="A17" s="3" t="s">
        <v>55</v>
      </c>
      <c r="B17" s="11">
        <f>+('Calcul Coût Ption'!B5*60/1000)/12*13</f>
        <v>281.80645161290329</v>
      </c>
      <c r="C17" s="4">
        <f>+Données!$B$35</f>
        <v>22.183</v>
      </c>
      <c r="D17" s="13">
        <f t="shared" si="4"/>
        <v>6251.3125161290336</v>
      </c>
      <c r="E17" s="11">
        <f>+('Calcul Coût Ption'!B5*0.05)/12*13</f>
        <v>234.83870967741939</v>
      </c>
      <c r="F17" s="11">
        <f>+Données!$B$17</f>
        <v>11</v>
      </c>
      <c r="G17" s="13">
        <f t="shared" si="5"/>
        <v>2583.2258064516132</v>
      </c>
      <c r="H17" s="13">
        <f>+'Chiffre d''affaire'!G6*0.04</f>
        <v>5880</v>
      </c>
      <c r="I17" s="13">
        <f>+'Chiffre d''affaire'!G6*0.02</f>
        <v>2940</v>
      </c>
      <c r="J17" s="13">
        <f>+'Chiffre d''affaire'!G6*0.01</f>
        <v>1470</v>
      </c>
      <c r="K17" s="13">
        <f t="shared" si="6"/>
        <v>19124.538322580647</v>
      </c>
    </row>
    <row r="18" spans="1:11">
      <c r="A18" s="3" t="s">
        <v>56</v>
      </c>
      <c r="B18" s="11">
        <f>+('Calcul Coût Ption'!B6*60/1000)/12*13</f>
        <v>281.80645161290329</v>
      </c>
      <c r="C18" s="4">
        <f>+Données!$B$35</f>
        <v>22.183</v>
      </c>
      <c r="D18" s="13">
        <f t="shared" si="4"/>
        <v>6251.3125161290336</v>
      </c>
      <c r="E18" s="11">
        <f>+('Calcul Coût Ption'!B6*0.05)/12*13</f>
        <v>234.83870967741939</v>
      </c>
      <c r="F18" s="11">
        <f>+Données!$B$17</f>
        <v>11</v>
      </c>
      <c r="G18" s="13">
        <f t="shared" si="5"/>
        <v>2583.2258064516132</v>
      </c>
      <c r="H18" s="13">
        <f>+'Chiffre d''affaire'!G7*0.04</f>
        <v>5880</v>
      </c>
      <c r="I18" s="13">
        <f>+'Chiffre d''affaire'!G7*0.02</f>
        <v>2940</v>
      </c>
      <c r="J18" s="13">
        <f>+'Chiffre d''affaire'!G7*0.01</f>
        <v>1470</v>
      </c>
      <c r="K18" s="13">
        <f t="shared" si="6"/>
        <v>19124.538322580647</v>
      </c>
    </row>
    <row r="19" spans="1:11">
      <c r="A19" s="3" t="s">
        <v>57</v>
      </c>
      <c r="B19" s="11">
        <f>+('Calcul Coût Ption'!B7*60/1000)/12*13</f>
        <v>281.80645161290329</v>
      </c>
      <c r="C19" s="4">
        <f>+Données!$B$35</f>
        <v>22.183</v>
      </c>
      <c r="D19" s="13">
        <f t="shared" si="4"/>
        <v>6251.3125161290336</v>
      </c>
      <c r="E19" s="11">
        <f>+('Calcul Coût Ption'!B7*0.05)/12*13</f>
        <v>234.83870967741939</v>
      </c>
      <c r="F19" s="11">
        <f>+Données!$B$17</f>
        <v>11</v>
      </c>
      <c r="G19" s="13">
        <f t="shared" si="5"/>
        <v>2583.2258064516132</v>
      </c>
      <c r="H19" s="13">
        <f>+'Chiffre d''affaire'!G8*0.04</f>
        <v>5880</v>
      </c>
      <c r="I19" s="13">
        <f>+'Chiffre d''affaire'!G8*0.02</f>
        <v>2940</v>
      </c>
      <c r="J19" s="13">
        <f>+'Chiffre d''affaire'!G8*0.01</f>
        <v>1470</v>
      </c>
      <c r="K19" s="13">
        <f t="shared" si="6"/>
        <v>19124.538322580647</v>
      </c>
    </row>
    <row r="20" spans="1:11">
      <c r="A20" s="3" t="s">
        <v>23</v>
      </c>
      <c r="B20" s="11">
        <f>+('Calcul Coût Ption'!B8*60/1000)/12*13</f>
        <v>281.80645161290329</v>
      </c>
      <c r="C20" s="4">
        <f>+Données!$B$35</f>
        <v>22.183</v>
      </c>
      <c r="D20" s="13">
        <f t="shared" si="4"/>
        <v>6251.3125161290336</v>
      </c>
      <c r="E20" s="11">
        <f>+('Calcul Coût Ption'!B8*0.05)/12*13</f>
        <v>234.83870967741939</v>
      </c>
      <c r="F20" s="11">
        <f>+Données!$B$17</f>
        <v>11</v>
      </c>
      <c r="G20" s="13">
        <f t="shared" si="5"/>
        <v>2583.2258064516132</v>
      </c>
      <c r="H20" s="13">
        <f>+'Chiffre d''affaire'!G9*0.04</f>
        <v>5880</v>
      </c>
      <c r="I20" s="13">
        <f>+'Chiffre d''affaire'!G9*0.02</f>
        <v>2940</v>
      </c>
      <c r="J20" s="13">
        <f>+'Chiffre d''affaire'!G9*0.01</f>
        <v>1470</v>
      </c>
      <c r="K20" s="13">
        <f t="shared" si="6"/>
        <v>19124.538322580647</v>
      </c>
    </row>
    <row r="21" spans="1:11">
      <c r="A21" s="52" t="s">
        <v>58</v>
      </c>
      <c r="B21" s="53">
        <f>SUM(B14:B20)</f>
        <v>8663.5354838709682</v>
      </c>
      <c r="C21" s="54"/>
      <c r="D21" s="53">
        <f>SUM(D14:D20)</f>
        <v>192183.20763870963</v>
      </c>
      <c r="E21" s="53">
        <f>SUM(E14:E20)</f>
        <v>7219.6129032258068</v>
      </c>
      <c r="F21" s="54"/>
      <c r="G21" s="53">
        <f>SUM(G14:G20)</f>
        <v>79415.741935483849</v>
      </c>
      <c r="H21" s="53">
        <f>SUM(H14:H20)</f>
        <v>77433.600000000006</v>
      </c>
      <c r="I21" s="53">
        <f t="shared" ref="I21" si="7">SUM(I14:I20)</f>
        <v>38716.800000000003</v>
      </c>
      <c r="J21" s="53">
        <f>SUM(J14:J20)</f>
        <v>19358.400000000001</v>
      </c>
      <c r="K21" s="53">
        <f>SUM(K14:K20)</f>
        <v>407107.7495741935</v>
      </c>
    </row>
    <row r="23" spans="1:11">
      <c r="K23" s="11"/>
    </row>
    <row r="24" spans="1:11">
      <c r="A24" s="31"/>
      <c r="B24" s="478" t="s">
        <v>20</v>
      </c>
      <c r="C24" s="478"/>
      <c r="D24" s="478"/>
      <c r="E24" s="478" t="s">
        <v>19</v>
      </c>
      <c r="F24" s="478"/>
      <c r="G24" s="478"/>
    </row>
    <row r="25" spans="1:11" ht="12.75" thickBot="1">
      <c r="A25" s="50"/>
      <c r="B25" s="51" t="s">
        <v>120</v>
      </c>
      <c r="C25" s="50" t="s">
        <v>13</v>
      </c>
      <c r="D25" s="50" t="s">
        <v>121</v>
      </c>
      <c r="E25" s="51" t="s">
        <v>120</v>
      </c>
      <c r="F25" s="50" t="s">
        <v>13</v>
      </c>
      <c r="G25" s="50" t="s">
        <v>121</v>
      </c>
    </row>
    <row r="26" spans="1:11">
      <c r="A26" s="3" t="s">
        <v>54</v>
      </c>
      <c r="B26" s="11">
        <f>+B14/13</f>
        <v>193.23870967741934</v>
      </c>
      <c r="C26" s="4">
        <f>+Données!$B$35</f>
        <v>22.183</v>
      </c>
      <c r="D26" s="13">
        <f>+B26*C26</f>
        <v>4286.6142967741935</v>
      </c>
      <c r="E26" s="11">
        <f>+E14/13</f>
        <v>161.03225806451613</v>
      </c>
      <c r="F26" s="11">
        <f>+'[22]marge brut'!$D$16</f>
        <v>8.9</v>
      </c>
      <c r="G26" s="13">
        <f>+E26*F26</f>
        <v>1433.1870967741936</v>
      </c>
    </row>
    <row r="27" spans="1:11">
      <c r="A27" s="3" t="s">
        <v>22</v>
      </c>
      <c r="B27" s="11">
        <f t="shared" ref="B27:B32" si="8">+B15/13</f>
        <v>193.23870967741934</v>
      </c>
      <c r="C27" s="4">
        <f>+Données!$B$35</f>
        <v>22.183</v>
      </c>
      <c r="D27" s="13">
        <f t="shared" ref="D27:D32" si="9">+B27*C27</f>
        <v>4286.6142967741935</v>
      </c>
      <c r="E27" s="11">
        <f t="shared" ref="E27:E32" si="10">+E15/13</f>
        <v>161.03225806451613</v>
      </c>
      <c r="F27" s="11">
        <f>+'[22]marge brut'!$D$16</f>
        <v>8.9</v>
      </c>
      <c r="G27" s="13">
        <f t="shared" ref="G27:G32" si="11">+E27*F27</f>
        <v>1433.1870967741936</v>
      </c>
    </row>
    <row r="28" spans="1:11">
      <c r="A28" s="3" t="s">
        <v>17</v>
      </c>
      <c r="B28" s="11">
        <f t="shared" si="8"/>
        <v>193.23870967741934</v>
      </c>
      <c r="C28" s="4">
        <f>+Données!$B$35</f>
        <v>22.183</v>
      </c>
      <c r="D28" s="13">
        <f t="shared" si="9"/>
        <v>4286.6142967741935</v>
      </c>
      <c r="E28" s="11">
        <f t="shared" si="10"/>
        <v>161.03225806451613</v>
      </c>
      <c r="F28" s="11">
        <f>+'[22]marge brut'!$D$16</f>
        <v>8.9</v>
      </c>
      <c r="G28" s="13">
        <f t="shared" si="11"/>
        <v>1433.1870967741936</v>
      </c>
    </row>
    <row r="29" spans="1:11">
      <c r="A29" s="3" t="s">
        <v>55</v>
      </c>
      <c r="B29" s="11">
        <f t="shared" si="8"/>
        <v>21.677419354838715</v>
      </c>
      <c r="C29" s="4">
        <f>+Données!$B$35</f>
        <v>22.183</v>
      </c>
      <c r="D29" s="13">
        <f t="shared" si="9"/>
        <v>480.87019354838719</v>
      </c>
      <c r="E29" s="11">
        <f t="shared" si="10"/>
        <v>18.06451612903226</v>
      </c>
      <c r="F29" s="11">
        <f>+'[22]marge brut'!$D$16</f>
        <v>8.9</v>
      </c>
      <c r="G29" s="13">
        <f t="shared" si="11"/>
        <v>160.77419354838713</v>
      </c>
    </row>
    <row r="30" spans="1:11">
      <c r="A30" s="3" t="s">
        <v>56</v>
      </c>
      <c r="B30" s="11">
        <f t="shared" si="8"/>
        <v>21.677419354838715</v>
      </c>
      <c r="C30" s="4">
        <f>+Données!$B$35</f>
        <v>22.183</v>
      </c>
      <c r="D30" s="13">
        <f t="shared" si="9"/>
        <v>480.87019354838719</v>
      </c>
      <c r="E30" s="11">
        <f t="shared" si="10"/>
        <v>18.06451612903226</v>
      </c>
      <c r="F30" s="11">
        <f>+'[22]marge brut'!$D$16</f>
        <v>8.9</v>
      </c>
      <c r="G30" s="13">
        <f t="shared" si="11"/>
        <v>160.77419354838713</v>
      </c>
    </row>
    <row r="31" spans="1:11">
      <c r="A31" s="3" t="s">
        <v>57</v>
      </c>
      <c r="B31" s="11">
        <f t="shared" si="8"/>
        <v>21.677419354838715</v>
      </c>
      <c r="C31" s="4">
        <f>+Données!$B$35</f>
        <v>22.183</v>
      </c>
      <c r="D31" s="13">
        <f t="shared" si="9"/>
        <v>480.87019354838719</v>
      </c>
      <c r="E31" s="11">
        <f t="shared" si="10"/>
        <v>18.06451612903226</v>
      </c>
      <c r="F31" s="11">
        <f>+'[22]marge brut'!$D$16</f>
        <v>8.9</v>
      </c>
      <c r="G31" s="13">
        <f t="shared" si="11"/>
        <v>160.77419354838713</v>
      </c>
    </row>
    <row r="32" spans="1:11">
      <c r="A32" s="3" t="s">
        <v>23</v>
      </c>
      <c r="B32" s="11">
        <f t="shared" si="8"/>
        <v>21.677419354838715</v>
      </c>
      <c r="C32" s="4">
        <f>+Données!$B$35</f>
        <v>22.183</v>
      </c>
      <c r="D32" s="13">
        <f t="shared" si="9"/>
        <v>480.87019354838719</v>
      </c>
      <c r="E32" s="11">
        <f t="shared" si="10"/>
        <v>18.06451612903226</v>
      </c>
      <c r="F32" s="11">
        <f>+'[22]marge brut'!$D$16</f>
        <v>8.9</v>
      </c>
      <c r="G32" s="13">
        <f t="shared" si="11"/>
        <v>160.77419354838713</v>
      </c>
    </row>
    <row r="33" spans="1:7">
      <c r="A33" s="52" t="s">
        <v>58</v>
      </c>
      <c r="B33" s="53">
        <f>SUM(B26:B32)</f>
        <v>666.42580645161263</v>
      </c>
      <c r="C33" s="54"/>
      <c r="D33" s="53">
        <f>SUM(D26:D32)</f>
        <v>14783.323664516131</v>
      </c>
      <c r="E33" s="53">
        <f>SUM(E26:E32)</f>
        <v>555.35483870967755</v>
      </c>
      <c r="F33" s="54"/>
      <c r="G33" s="53">
        <f>SUM(G26:G32)</f>
        <v>4942.6580645161303</v>
      </c>
    </row>
    <row r="36" spans="1:7">
      <c r="D36" s="11"/>
    </row>
    <row r="37" spans="1:7">
      <c r="D37" s="11"/>
    </row>
  </sheetData>
  <mergeCells count="4">
    <mergeCell ref="B12:D12"/>
    <mergeCell ref="E12:G12"/>
    <mergeCell ref="B24:D24"/>
    <mergeCell ref="E24:G2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22"/>
  <sheetViews>
    <sheetView workbookViewId="0">
      <selection activeCell="C18" sqref="C18"/>
    </sheetView>
  </sheetViews>
  <sheetFormatPr baseColWidth="10" defaultRowHeight="12"/>
  <cols>
    <col min="1" max="1" width="21.85546875" style="3" bestFit="1" customWidth="1"/>
    <col min="2" max="4" width="11.42578125" style="3" customWidth="1"/>
    <col min="5" max="5" width="0" style="3" hidden="1" customWidth="1"/>
    <col min="6" max="6" width="15.5703125" style="3" hidden="1" customWidth="1"/>
    <col min="7" max="7" width="11.42578125" style="3" hidden="1" customWidth="1"/>
    <col min="8" max="16" width="0" style="3" hidden="1" customWidth="1"/>
    <col min="17" max="16384" width="11.42578125" style="3"/>
  </cols>
  <sheetData>
    <row r="1" spans="1:16">
      <c r="B1" s="481">
        <v>2016</v>
      </c>
      <c r="C1" s="481"/>
      <c r="D1" s="481"/>
      <c r="E1" s="468">
        <v>2017</v>
      </c>
      <c r="F1" s="468"/>
      <c r="G1" s="468"/>
      <c r="H1" s="482">
        <v>2018</v>
      </c>
      <c r="I1" s="482"/>
      <c r="J1" s="482"/>
      <c r="K1" s="483">
        <v>2019</v>
      </c>
      <c r="L1" s="483"/>
      <c r="M1" s="483"/>
      <c r="N1" s="484">
        <v>2020</v>
      </c>
      <c r="O1" s="484"/>
      <c r="P1" s="484"/>
    </row>
    <row r="2" spans="1:16">
      <c r="A2" s="28"/>
      <c r="B2" s="28" t="s">
        <v>261</v>
      </c>
      <c r="C2" s="28" t="s">
        <v>262</v>
      </c>
      <c r="D2" s="28" t="s">
        <v>263</v>
      </c>
      <c r="E2" s="28" t="s">
        <v>261</v>
      </c>
      <c r="F2" s="28" t="s">
        <v>262</v>
      </c>
      <c r="G2" s="28" t="s">
        <v>263</v>
      </c>
      <c r="H2" s="28" t="s">
        <v>261</v>
      </c>
      <c r="I2" s="28" t="s">
        <v>262</v>
      </c>
      <c r="J2" s="28" t="s">
        <v>263</v>
      </c>
      <c r="K2" s="28" t="s">
        <v>261</v>
      </c>
      <c r="L2" s="28" t="s">
        <v>262</v>
      </c>
      <c r="M2" s="28" t="s">
        <v>263</v>
      </c>
      <c r="N2" s="28" t="s">
        <v>261</v>
      </c>
      <c r="O2" s="28" t="s">
        <v>262</v>
      </c>
      <c r="P2" s="28" t="s">
        <v>263</v>
      </c>
    </row>
    <row r="3" spans="1:16" s="15" customFormat="1">
      <c r="A3" s="15" t="s">
        <v>18</v>
      </c>
      <c r="B3" s="166">
        <f>+'Chiffre d''affaire'!I10</f>
        <v>1742256</v>
      </c>
      <c r="C3" s="166">
        <f>+B3*0.06</f>
        <v>104535.36</v>
      </c>
      <c r="D3" s="166">
        <f>+B3+C3</f>
        <v>1846791.36</v>
      </c>
      <c r="E3" s="268">
        <f>+'Chiffre d''affaire'!L10</f>
        <v>2003594.4</v>
      </c>
      <c r="F3" s="268">
        <f>+E3*0.06</f>
        <v>120215.66399999999</v>
      </c>
      <c r="G3" s="268">
        <f>+E3+F3</f>
        <v>2123810.0639999998</v>
      </c>
      <c r="H3" s="268">
        <f>+'Chiffre d''affaire'!N10</f>
        <v>2304133.5599999996</v>
      </c>
      <c r="I3" s="268">
        <f>+H3*0.06</f>
        <v>138248.01359999998</v>
      </c>
      <c r="J3" s="268">
        <f>+H3+I3</f>
        <v>2442381.5735999998</v>
      </c>
      <c r="K3" s="268">
        <f>+'Chiffre d''affaire'!P10</f>
        <v>2649753.5939999986</v>
      </c>
      <c r="L3" s="268">
        <f>+K3*0.06</f>
        <v>158985.21563999992</v>
      </c>
      <c r="M3" s="268">
        <f>+K3+L3</f>
        <v>2808738.8096399987</v>
      </c>
      <c r="N3" s="268">
        <f>+'Chiffre d''affaire'!R10</f>
        <v>3047216.6330999993</v>
      </c>
      <c r="O3" s="268">
        <f>+N3*0.06</f>
        <v>182832.99798599994</v>
      </c>
      <c r="P3" s="268">
        <f>+N3+O3</f>
        <v>3230049.6310859993</v>
      </c>
    </row>
    <row r="4" spans="1:16" s="15" customFormat="1">
      <c r="A4" s="15" t="s">
        <v>47</v>
      </c>
      <c r="B4" s="166">
        <f>SUM(B5:B6)</f>
        <v>945414.21419354843</v>
      </c>
      <c r="C4" s="166">
        <f t="shared" ref="C4:P4" si="0">SUM(C5:C6)</f>
        <v>-155966.10270967742</v>
      </c>
      <c r="D4" s="166">
        <f t="shared" si="0"/>
        <v>1101380.3169032258</v>
      </c>
      <c r="E4" s="268">
        <f>SUM(E5:E6)</f>
        <v>978897.63427956984</v>
      </c>
      <c r="F4" s="268">
        <f t="shared" si="0"/>
        <v>-161489.90218064515</v>
      </c>
      <c r="G4" s="268">
        <f t="shared" si="0"/>
        <v>1140387.536460215</v>
      </c>
      <c r="H4" s="268">
        <f>SUM(H5:H6)</f>
        <v>1134759.6720917562</v>
      </c>
      <c r="I4" s="268">
        <f t="shared" si="0"/>
        <v>-187202.64716903225</v>
      </c>
      <c r="J4" s="268">
        <f t="shared" si="0"/>
        <v>1321962.3192607884</v>
      </c>
      <c r="K4" s="268">
        <f>SUM(K5:K6)</f>
        <v>1304221.3401829987</v>
      </c>
      <c r="L4" s="268">
        <f t="shared" si="0"/>
        <v>-215158.93927261289</v>
      </c>
      <c r="M4" s="268">
        <f t="shared" si="0"/>
        <v>1519380.2794556115</v>
      </c>
      <c r="N4" s="268">
        <f>SUM(N5:N6)</f>
        <v>1499917.231437325</v>
      </c>
      <c r="O4" s="268">
        <f t="shared" si="0"/>
        <v>-247443.12224448597</v>
      </c>
      <c r="P4" s="268">
        <f t="shared" si="0"/>
        <v>1747360.3536818109</v>
      </c>
    </row>
    <row r="5" spans="1:16">
      <c r="A5" s="165" t="s">
        <v>21</v>
      </c>
      <c r="B5" s="167">
        <f>+'Ach prévisionnel'!D3</f>
        <v>118403.79870967739</v>
      </c>
      <c r="C5" s="167">
        <f>+(B5*0.06)*-1</f>
        <v>-7104.2279225806433</v>
      </c>
      <c r="D5" s="167">
        <f>+B5-C5</f>
        <v>125508.02663225803</v>
      </c>
      <c r="E5" s="5">
        <f>+'Ach prévisionnel'!I3</f>
        <v>122597.26658064516</v>
      </c>
      <c r="F5" s="196">
        <f>+(E5*0.06)*-1</f>
        <v>-7355.8359948387088</v>
      </c>
      <c r="G5" s="196">
        <f>+E5-F5</f>
        <v>129953.10257548386</v>
      </c>
      <c r="H5" s="5">
        <f>+'Ach prévisionnel'!N3</f>
        <v>142117.44839569888</v>
      </c>
      <c r="I5" s="196">
        <f>+(H5*0.06)*-1</f>
        <v>-8527.0469037419334</v>
      </c>
      <c r="J5" s="196">
        <f>+H5-I5</f>
        <v>150644.49529944081</v>
      </c>
      <c r="K5" s="5">
        <f>+'Ach prévisionnel'!S3</f>
        <v>163340.84966939068</v>
      </c>
      <c r="L5" s="196">
        <f>+(K5*0.06)*-1</f>
        <v>-9800.4509801634395</v>
      </c>
      <c r="M5" s="196">
        <f>+K5-L5</f>
        <v>173141.30064955412</v>
      </c>
      <c r="N5" s="5">
        <f>+'Ach prévisionnel'!X3</f>
        <v>187849.82845193782</v>
      </c>
      <c r="O5" s="196">
        <f>+(N5*0.06)*-1</f>
        <v>-11270.989707116269</v>
      </c>
      <c r="P5" s="196">
        <f>+N5-O5</f>
        <v>199120.81815905409</v>
      </c>
    </row>
    <row r="6" spans="1:16">
      <c r="A6" s="165" t="s">
        <v>309</v>
      </c>
      <c r="B6" s="167">
        <f>+SUM('Ach prévisionnel'!D4:D9)</f>
        <v>827010.41548387101</v>
      </c>
      <c r="C6" s="167">
        <f>+(B6*0.18)*-1</f>
        <v>-148861.87478709678</v>
      </c>
      <c r="D6" s="167">
        <f t="shared" ref="D6:D11" si="1">+B6-C6</f>
        <v>975872.29027096776</v>
      </c>
      <c r="E6" s="5">
        <f>+SUM('Ach prévisionnel'!I4:I9)</f>
        <v>856300.36769892473</v>
      </c>
      <c r="F6" s="196">
        <f>+(E6*0.18)*-1</f>
        <v>-154134.06618580644</v>
      </c>
      <c r="G6" s="196">
        <f t="shared" ref="G6:G11" si="2">+E6-F6</f>
        <v>1010434.4338847311</v>
      </c>
      <c r="H6" s="5">
        <f>+SUM('Ach prévisionnel'!N4:N9)</f>
        <v>992642.22369605734</v>
      </c>
      <c r="I6" s="196">
        <f>+(H6*0.18)*-1</f>
        <v>-178675.60026529033</v>
      </c>
      <c r="J6" s="196">
        <f t="shared" ref="J6:J11" si="3">+H6-I6</f>
        <v>1171317.8239613476</v>
      </c>
      <c r="K6" s="5">
        <f>+SUM('Ach prévisionnel'!S4:S9)</f>
        <v>1140880.4905136081</v>
      </c>
      <c r="L6" s="196">
        <f>+(K6*0.18)*-1</f>
        <v>-205358.48829244944</v>
      </c>
      <c r="M6" s="196">
        <f t="shared" ref="M6:M11" si="4">+K6-L6</f>
        <v>1346238.9788060575</v>
      </c>
      <c r="N6" s="5">
        <f>+SUM('Ach prévisionnel'!X4:X9)</f>
        <v>1312067.4029853872</v>
      </c>
      <c r="O6" s="196">
        <f>+(N6*0.18)*-1</f>
        <v>-236172.1325373697</v>
      </c>
      <c r="P6" s="196">
        <f t="shared" ref="P6:P11" si="5">+N6-O6</f>
        <v>1548239.5355227569</v>
      </c>
    </row>
    <row r="7" spans="1:16" s="15" customFormat="1">
      <c r="A7" s="15" t="s">
        <v>50</v>
      </c>
      <c r="B7" s="166">
        <f>+'Consommations Q'!C39*Données!B17</f>
        <v>79415.741935483878</v>
      </c>
      <c r="C7" s="166">
        <f>+(B7*0.18)*-1</f>
        <v>-14294.833548387098</v>
      </c>
      <c r="D7" s="166">
        <f t="shared" si="1"/>
        <v>93710.575483870984</v>
      </c>
      <c r="E7" s="268">
        <f>+'Ach prévisionnel'!I37</f>
        <v>82012.025806451595</v>
      </c>
      <c r="F7" s="268">
        <f t="shared" ref="F7:F11" si="6">+(E7*0.18)*-1</f>
        <v>-14762.164645161287</v>
      </c>
      <c r="G7" s="268">
        <f t="shared" si="2"/>
        <v>96774.190451612885</v>
      </c>
      <c r="H7" s="268">
        <f>+'Ach prévisionnel'!N37</f>
        <v>94313.829677419388</v>
      </c>
      <c r="I7" s="268">
        <f t="shared" ref="I7:I11" si="7">+(H7*0.18)*-1</f>
        <v>-16976.489341935488</v>
      </c>
      <c r="J7" s="268">
        <f t="shared" si="3"/>
        <v>111290.31901935488</v>
      </c>
      <c r="K7" s="268">
        <f>+'Ach prévisionnel'!S37</f>
        <v>108460.90412903225</v>
      </c>
      <c r="L7" s="268">
        <f t="shared" ref="L7:L11" si="8">+(K7*0.18)*-1</f>
        <v>-19522.962743225806</v>
      </c>
      <c r="M7" s="268">
        <f t="shared" si="4"/>
        <v>127983.86687225805</v>
      </c>
      <c r="N7" s="268">
        <f>+'Ach prévisionnel'!X37</f>
        <v>124730.03974838709</v>
      </c>
      <c r="O7" s="268">
        <f t="shared" ref="O7:O11" si="9">+(N7*0.18)*-1</f>
        <v>-22451.407154709676</v>
      </c>
      <c r="P7" s="268">
        <f t="shared" si="5"/>
        <v>147181.44690309677</v>
      </c>
    </row>
    <row r="8" spans="1:16" s="15" customFormat="1">
      <c r="A8" s="15" t="s">
        <v>264</v>
      </c>
      <c r="B8" s="166">
        <f>+'Consommations Q'!C26*Données!B35</f>
        <v>192183.20763870972</v>
      </c>
      <c r="C8" s="166">
        <f>+(B8*0.18)*-1</f>
        <v>-34592.977374967748</v>
      </c>
      <c r="D8" s="166">
        <f t="shared" si="1"/>
        <v>226776.18501367746</v>
      </c>
      <c r="E8" s="268">
        <f>+'Ach prévisionnel'!I24</f>
        <v>198466.12019612899</v>
      </c>
      <c r="F8" s="268">
        <f t="shared" si="6"/>
        <v>-35723.90163530322</v>
      </c>
      <c r="G8" s="268">
        <f t="shared" si="2"/>
        <v>234190.02183143221</v>
      </c>
      <c r="H8" s="268">
        <f>+'Ach prévisionnel'!N24</f>
        <v>228236.03822554837</v>
      </c>
      <c r="I8" s="268">
        <f t="shared" si="7"/>
        <v>-41082.486880598706</v>
      </c>
      <c r="J8" s="268">
        <f t="shared" si="3"/>
        <v>269318.52510614705</v>
      </c>
      <c r="K8" s="268">
        <f>+'Ach prévisionnel'!S24</f>
        <v>262471.44395938062</v>
      </c>
      <c r="L8" s="268">
        <f t="shared" si="8"/>
        <v>-47244.859912688509</v>
      </c>
      <c r="M8" s="268">
        <f t="shared" si="4"/>
        <v>309716.30387206911</v>
      </c>
      <c r="N8" s="268">
        <f>+'Ach prévisionnel'!X24</f>
        <v>301842.1605532876</v>
      </c>
      <c r="O8" s="268">
        <f t="shared" si="9"/>
        <v>-54331.588899591763</v>
      </c>
      <c r="P8" s="268">
        <f t="shared" si="5"/>
        <v>356173.74945287936</v>
      </c>
    </row>
    <row r="9" spans="1:16" s="15" customFormat="1">
      <c r="A9" s="15" t="s">
        <v>265</v>
      </c>
      <c r="B9" s="166">
        <f>+'Ach prévisionnel'!C47</f>
        <v>48396</v>
      </c>
      <c r="C9" s="166">
        <f t="shared" ref="C9:C10" si="10">+(B9*0.18)*-1</f>
        <v>-8711.2799999999988</v>
      </c>
      <c r="D9" s="166">
        <f t="shared" si="1"/>
        <v>57107.28</v>
      </c>
      <c r="E9" s="268">
        <f>+'Ach prévisionnel'!D47</f>
        <v>55655.4</v>
      </c>
      <c r="F9" s="268">
        <f t="shared" si="6"/>
        <v>-10017.972</v>
      </c>
      <c r="G9" s="268">
        <f t="shared" si="2"/>
        <v>65673.372000000003</v>
      </c>
      <c r="H9" s="268">
        <f>+'Ach prévisionnel'!E47</f>
        <v>64003.709999999992</v>
      </c>
      <c r="I9" s="268">
        <f t="shared" si="7"/>
        <v>-11520.667799999997</v>
      </c>
      <c r="J9" s="268">
        <f t="shared" si="3"/>
        <v>75524.377799999987</v>
      </c>
      <c r="K9" s="268">
        <f>+'Ach prévisionnel'!F47</f>
        <v>73604.266499999954</v>
      </c>
      <c r="L9" s="268">
        <f t="shared" si="8"/>
        <v>-13248.767969999992</v>
      </c>
      <c r="M9" s="268">
        <f t="shared" si="4"/>
        <v>86853.03446999994</v>
      </c>
      <c r="N9" s="268">
        <f>+'Ach prévisionnel'!G47</f>
        <v>84644.906474999996</v>
      </c>
      <c r="O9" s="268">
        <f t="shared" si="9"/>
        <v>-15236.083165499998</v>
      </c>
      <c r="P9" s="268">
        <f t="shared" si="5"/>
        <v>99880.989640499989</v>
      </c>
    </row>
    <row r="10" spans="1:16" s="15" customFormat="1">
      <c r="A10" s="15" t="s">
        <v>266</v>
      </c>
      <c r="B10" s="166">
        <f>+'Achat carton'!F10</f>
        <v>21520</v>
      </c>
      <c r="C10" s="166">
        <f t="shared" si="10"/>
        <v>-3873.6</v>
      </c>
      <c r="D10" s="166">
        <f t="shared" si="1"/>
        <v>25393.599999999999</v>
      </c>
      <c r="E10" s="268">
        <f>+'Achat carton'!H10</f>
        <v>24747.999999999996</v>
      </c>
      <c r="F10" s="268">
        <f t="shared" si="6"/>
        <v>-4454.6399999999994</v>
      </c>
      <c r="G10" s="268">
        <f t="shared" si="2"/>
        <v>29202.639999999996</v>
      </c>
      <c r="H10" s="268">
        <f>+'Achat carton'!J10</f>
        <v>28460.199999999993</v>
      </c>
      <c r="I10" s="268">
        <f t="shared" si="7"/>
        <v>-5122.8359999999984</v>
      </c>
      <c r="J10" s="268">
        <f t="shared" si="3"/>
        <v>33583.035999999993</v>
      </c>
      <c r="K10" s="268">
        <f>+'Achat carton'!L10</f>
        <v>32729.229999999992</v>
      </c>
      <c r="L10" s="268">
        <f t="shared" si="8"/>
        <v>-5891.2613999999985</v>
      </c>
      <c r="M10" s="268">
        <f t="shared" si="4"/>
        <v>38620.491399999992</v>
      </c>
      <c r="N10" s="268">
        <f>+'Achat carton'!N10</f>
        <v>37638.614499999981</v>
      </c>
      <c r="O10" s="268">
        <f t="shared" si="9"/>
        <v>-6774.9506099999962</v>
      </c>
      <c r="P10" s="268">
        <f t="shared" si="5"/>
        <v>44413.565109999981</v>
      </c>
    </row>
    <row r="11" spans="1:16" s="15" customFormat="1">
      <c r="A11" s="15" t="s">
        <v>154</v>
      </c>
      <c r="B11" s="166">
        <f>+'Autres charges'!C16</f>
        <v>208679.49679999999</v>
      </c>
      <c r="C11" s="166">
        <f>-'Autres charges'!J16</f>
        <v>-31689.560880000001</v>
      </c>
      <c r="D11" s="166">
        <f t="shared" si="1"/>
        <v>240369.05768</v>
      </c>
      <c r="E11" s="268">
        <f>+'Autres charges'!D16</f>
        <v>232216.25392000005</v>
      </c>
      <c r="F11" s="268">
        <f t="shared" si="6"/>
        <v>-41798.925705600006</v>
      </c>
      <c r="G11" s="268">
        <f t="shared" si="2"/>
        <v>274015.17962560005</v>
      </c>
      <c r="H11" s="268">
        <f>+'Autres charges'!E16</f>
        <v>259022.93900799993</v>
      </c>
      <c r="I11" s="268">
        <f t="shared" si="7"/>
        <v>-46624.129021439985</v>
      </c>
      <c r="J11" s="268">
        <f t="shared" si="3"/>
        <v>305647.06802943989</v>
      </c>
      <c r="K11" s="268">
        <f>+'Autres charges'!F16</f>
        <v>289863.03596319986</v>
      </c>
      <c r="L11" s="268">
        <f t="shared" si="8"/>
        <v>-52175.346473375976</v>
      </c>
      <c r="M11" s="268">
        <f t="shared" si="4"/>
        <v>342038.38243657583</v>
      </c>
      <c r="N11" s="268">
        <f>+'Autres charges'!G16</f>
        <v>324730.65243592003</v>
      </c>
      <c r="O11" s="268">
        <f t="shared" si="9"/>
        <v>-58451.517438465606</v>
      </c>
      <c r="P11" s="268">
        <f t="shared" si="5"/>
        <v>383182.16987438564</v>
      </c>
    </row>
    <row r="12" spans="1:16" s="15" customFormat="1">
      <c r="A12" s="15" t="s">
        <v>310</v>
      </c>
      <c r="B12" s="166">
        <f>SUM(B13:B14)</f>
        <v>389067.9</v>
      </c>
      <c r="C12" s="166">
        <f t="shared" ref="C12:D12" si="11">SUM(C13:C14)</f>
        <v>-39587.093999999997</v>
      </c>
      <c r="D12" s="166">
        <f t="shared" si="11"/>
        <v>428654.99399999995</v>
      </c>
      <c r="E12" s="269"/>
      <c r="F12" s="269">
        <f t="shared" ref="F12:G12" si="12">SUM(F13:F14)</f>
        <v>0</v>
      </c>
      <c r="G12" s="269">
        <f t="shared" si="12"/>
        <v>0</v>
      </c>
      <c r="H12" s="269"/>
      <c r="I12" s="269">
        <f t="shared" ref="I12:J12" si="13">SUM(I13:I14)</f>
        <v>0</v>
      </c>
      <c r="J12" s="269">
        <f t="shared" si="13"/>
        <v>0</v>
      </c>
      <c r="K12" s="269"/>
      <c r="L12" s="269">
        <f t="shared" ref="L12:M12" si="14">SUM(L13:L14)</f>
        <v>0</v>
      </c>
      <c r="M12" s="269">
        <f t="shared" si="14"/>
        <v>0</v>
      </c>
      <c r="N12" s="269"/>
      <c r="O12" s="269">
        <f t="shared" ref="O12:P12" si="15">SUM(O13:O14)</f>
        <v>0</v>
      </c>
      <c r="P12" s="269">
        <f t="shared" si="15"/>
        <v>0</v>
      </c>
    </row>
    <row r="13" spans="1:16">
      <c r="A13" s="165" t="s">
        <v>311</v>
      </c>
      <c r="B13" s="168">
        <f>+Investissements!B6</f>
        <v>253709.4</v>
      </c>
      <c r="C13" s="168">
        <f>+(B13*0.06)*-1</f>
        <v>-15222.563999999998</v>
      </c>
      <c r="D13" s="168">
        <f>+B13-C13</f>
        <v>268931.96399999998</v>
      </c>
      <c r="E13" s="197"/>
      <c r="F13" s="198">
        <f>+(E13*0.06)*-1</f>
        <v>0</v>
      </c>
      <c r="G13" s="198">
        <f>+E13-F13</f>
        <v>0</v>
      </c>
      <c r="H13" s="197"/>
      <c r="I13" s="198">
        <f>+(H13*0.06)*-1</f>
        <v>0</v>
      </c>
      <c r="J13" s="198">
        <f>+H13-I13</f>
        <v>0</v>
      </c>
      <c r="K13" s="197"/>
      <c r="L13" s="198">
        <f>+(K13*0.06)*-1</f>
        <v>0</v>
      </c>
      <c r="M13" s="198">
        <f>+K13-L13</f>
        <v>0</v>
      </c>
      <c r="N13" s="197"/>
      <c r="O13" s="198">
        <f>+(N13*0.06)*-1</f>
        <v>0</v>
      </c>
      <c r="P13" s="198">
        <f>+N13-O13</f>
        <v>0</v>
      </c>
    </row>
    <row r="14" spans="1:16">
      <c r="A14" s="165" t="s">
        <v>312</v>
      </c>
      <c r="B14" s="168">
        <f>+Investissements!B5+Investissements!B7+Investissements!B8</f>
        <v>135358.5</v>
      </c>
      <c r="C14" s="168">
        <f>+(B14*0.18)*-1</f>
        <v>-24364.53</v>
      </c>
      <c r="D14" s="168">
        <f>+B14-C14</f>
        <v>159723.03</v>
      </c>
      <c r="E14" s="197"/>
      <c r="F14" s="198">
        <f>+(E14*0.18)*-1</f>
        <v>0</v>
      </c>
      <c r="G14" s="198">
        <f>+E14-F14</f>
        <v>0</v>
      </c>
      <c r="H14" s="197"/>
      <c r="I14" s="198">
        <f>+(H14*0.18)*-1</f>
        <v>0</v>
      </c>
      <c r="J14" s="198">
        <f>+H14-I14</f>
        <v>0</v>
      </c>
      <c r="K14" s="197"/>
      <c r="L14" s="198">
        <f>+(K14*0.18)*-1</f>
        <v>0</v>
      </c>
      <c r="M14" s="198">
        <f>+K14-L14</f>
        <v>0</v>
      </c>
      <c r="N14" s="197"/>
      <c r="O14" s="198">
        <f>+(N14*0.18)*-1</f>
        <v>0</v>
      </c>
      <c r="P14" s="198">
        <f>+N14-O14</f>
        <v>0</v>
      </c>
    </row>
    <row r="15" spans="1:16">
      <c r="A15" s="3" t="s">
        <v>304</v>
      </c>
      <c r="B15" s="4">
        <f>+Investissements!B10</f>
        <v>20500</v>
      </c>
      <c r="C15" s="168">
        <f>+(B15*0.18)*-1</f>
        <v>-3690</v>
      </c>
      <c r="D15" s="168">
        <f>+B15-C15</f>
        <v>24190</v>
      </c>
      <c r="E15" s="197"/>
      <c r="F15" s="198">
        <f>+(E15*0.18)*-1</f>
        <v>0</v>
      </c>
      <c r="G15" s="198">
        <f>+E15-F15</f>
        <v>0</v>
      </c>
      <c r="H15" s="197"/>
      <c r="I15" s="198">
        <f>+(H15*0.18)*-1</f>
        <v>0</v>
      </c>
      <c r="J15" s="198">
        <f>+H15-I15</f>
        <v>0</v>
      </c>
      <c r="K15" s="197"/>
      <c r="L15" s="198">
        <f>+(K15*0.18)*-1</f>
        <v>0</v>
      </c>
      <c r="M15" s="198">
        <f>+K15-L15</f>
        <v>0</v>
      </c>
      <c r="N15" s="197"/>
      <c r="O15" s="198">
        <f>+(N15*0.18)*-1</f>
        <v>0</v>
      </c>
      <c r="P15" s="198">
        <f>+N15-O15</f>
        <v>0</v>
      </c>
    </row>
    <row r="16" spans="1:16">
      <c r="B16" s="4"/>
      <c r="C16" s="4"/>
      <c r="D16" s="4"/>
    </row>
    <row r="17" spans="1:15">
      <c r="B17" s="4"/>
      <c r="C17" s="4"/>
      <c r="D17" s="4"/>
    </row>
    <row r="18" spans="1:15">
      <c r="A18" s="28" t="s">
        <v>313</v>
      </c>
      <c r="B18" s="28"/>
      <c r="C18" s="169">
        <f>+C3+(C4+C7+C8++C9+C10+C12+C15+C11)</f>
        <v>-187870.0885130323</v>
      </c>
      <c r="D18" s="28"/>
      <c r="F18" s="169">
        <f>+F3+(F4+F7+F8++F9+F10+F12+F15+F11)</f>
        <v>-148031.84216670966</v>
      </c>
      <c r="I18" s="169">
        <f>+I3+(I4+I7+I8++I9+I10+I12+I15+I11)</f>
        <v>-170281.24261300647</v>
      </c>
      <c r="L18" s="169">
        <f>+L3+(L4+L7+L8++L9+L10+L12+L15+L11)</f>
        <v>-194256.92213190327</v>
      </c>
      <c r="O18" s="169">
        <f>+O3+(O4+O7+O8++O9+O10+O12+O15+O11)</f>
        <v>-221855.67152675308</v>
      </c>
    </row>
    <row r="21" spans="1:15" ht="12.75" thickBot="1">
      <c r="A21" s="145" t="s">
        <v>267</v>
      </c>
      <c r="B21" s="145" t="s">
        <v>268</v>
      </c>
    </row>
    <row r="22" spans="1:15">
      <c r="A22" s="4">
        <f>SUM(D4:D10)</f>
        <v>2605748.2743040002</v>
      </c>
      <c r="B22" s="3">
        <f>+A22/13</f>
        <v>200442.17494646154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2"/>
  <sheetViews>
    <sheetView workbookViewId="0">
      <selection activeCell="D3" sqref="D3"/>
    </sheetView>
  </sheetViews>
  <sheetFormatPr baseColWidth="10" defaultRowHeight="15"/>
  <cols>
    <col min="2" max="2" width="10.85546875" bestFit="1" customWidth="1"/>
    <col min="5" max="5" width="7.140625" bestFit="1" customWidth="1"/>
    <col min="6" max="6" width="11.140625" bestFit="1" customWidth="1"/>
    <col min="8" max="8" width="13.85546875" bestFit="1" customWidth="1"/>
  </cols>
  <sheetData>
    <row r="1" spans="1:18">
      <c r="B1" s="487">
        <v>2016</v>
      </c>
      <c r="C1" s="487"/>
      <c r="D1" s="487"/>
      <c r="E1" s="487"/>
      <c r="F1" s="487"/>
      <c r="G1" s="486">
        <v>2017</v>
      </c>
      <c r="H1" s="486"/>
      <c r="I1" s="471">
        <v>2018</v>
      </c>
      <c r="J1" s="471"/>
      <c r="K1" s="488">
        <v>2019</v>
      </c>
      <c r="L1" s="488"/>
      <c r="M1" s="485">
        <v>2020</v>
      </c>
      <c r="N1" s="485"/>
      <c r="O1" s="485">
        <v>2021</v>
      </c>
      <c r="P1" s="485"/>
      <c r="Q1" s="485">
        <v>2022</v>
      </c>
      <c r="R1" s="485"/>
    </row>
    <row r="2" spans="1:18" ht="24.75" thickBot="1">
      <c r="A2" s="1" t="s">
        <v>0</v>
      </c>
      <c r="B2" s="1" t="s">
        <v>1</v>
      </c>
      <c r="C2" s="1" t="s">
        <v>2</v>
      </c>
      <c r="D2" s="55" t="s">
        <v>130</v>
      </c>
      <c r="E2" s="55" t="s">
        <v>131</v>
      </c>
      <c r="F2" s="55" t="s">
        <v>132</v>
      </c>
      <c r="G2" s="1" t="s">
        <v>1</v>
      </c>
      <c r="H2" s="55" t="s">
        <v>132</v>
      </c>
      <c r="I2" s="1" t="s">
        <v>1</v>
      </c>
      <c r="J2" s="55" t="s">
        <v>132</v>
      </c>
      <c r="K2" s="1" t="s">
        <v>1</v>
      </c>
      <c r="L2" s="55" t="s">
        <v>132</v>
      </c>
      <c r="M2" s="1" t="s">
        <v>1</v>
      </c>
      <c r="N2" s="55" t="s">
        <v>132</v>
      </c>
      <c r="O2" s="1" t="s">
        <v>1</v>
      </c>
      <c r="P2" s="55" t="s">
        <v>132</v>
      </c>
      <c r="Q2" s="1" t="s">
        <v>1</v>
      </c>
      <c r="R2" s="55" t="s">
        <v>132</v>
      </c>
    </row>
    <row r="3" spans="1:18" ht="15.75" thickTop="1">
      <c r="A3" s="3" t="s">
        <v>5</v>
      </c>
      <c r="B3" s="4">
        <f>+'Chiffre d''affaire'!F3</f>
        <v>37440</v>
      </c>
      <c r="C3" s="4">
        <f>+B3*10</f>
        <v>374400</v>
      </c>
      <c r="D3" s="4">
        <f>+C3/36</f>
        <v>10400</v>
      </c>
      <c r="E3" s="4">
        <f>+Données!$B$20</f>
        <v>0.6</v>
      </c>
      <c r="F3" s="4">
        <f>+D3*E3</f>
        <v>6240</v>
      </c>
      <c r="G3" s="4">
        <f>+'Chiffre d''affaire'!K3/36</f>
        <v>11959.999999999998</v>
      </c>
      <c r="H3" s="4">
        <f>+G3*$E$3</f>
        <v>7175.9999999999991</v>
      </c>
      <c r="I3" s="4">
        <f>+'Chiffre d''affaire'!M3/36</f>
        <v>13753.999999999996</v>
      </c>
      <c r="J3" s="4">
        <f>+I3*$E$3</f>
        <v>8252.3999999999978</v>
      </c>
      <c r="K3" s="4">
        <f>+'Chiffre d''affaire'!O3/36</f>
        <v>15817.099999999997</v>
      </c>
      <c r="L3" s="4">
        <f>+K3*$E$3</f>
        <v>9490.2599999999984</v>
      </c>
      <c r="M3" s="4">
        <f>+'Chiffre d''affaire'!Q3/36</f>
        <v>18189.664999999994</v>
      </c>
      <c r="N3" s="4">
        <f>+M3*$E$3</f>
        <v>10913.798999999995</v>
      </c>
      <c r="O3" s="4">
        <f>+'Chiffre d''affaire'!S3/36</f>
        <v>18189.664999999994</v>
      </c>
      <c r="P3" s="4">
        <f>+O3*$E$3</f>
        <v>10913.798999999995</v>
      </c>
      <c r="Q3" s="4">
        <f>+'Chiffre d''affaire'!U3/36</f>
        <v>18189.664999999994</v>
      </c>
      <c r="R3" s="4">
        <f>+Q3*$E$3</f>
        <v>10913.798999999995</v>
      </c>
    </row>
    <row r="4" spans="1:18">
      <c r="A4" s="3" t="s">
        <v>6</v>
      </c>
      <c r="B4" s="4">
        <f>+'Chiffre d''affaire'!F4</f>
        <v>37440</v>
      </c>
      <c r="C4" s="4">
        <f t="shared" ref="C4:C9" si="0">+B4*10</f>
        <v>374400</v>
      </c>
      <c r="D4" s="4">
        <f t="shared" ref="D4:D9" si="1">+C4/36</f>
        <v>10400</v>
      </c>
      <c r="E4" s="4">
        <f>+Données!$B$20</f>
        <v>0.6</v>
      </c>
      <c r="F4" s="4">
        <f t="shared" ref="F4:F9" si="2">+D4*E4</f>
        <v>6240</v>
      </c>
      <c r="G4" s="4">
        <f>+'Chiffre d''affaire'!K4/36</f>
        <v>11959.999999999998</v>
      </c>
      <c r="H4" s="4">
        <f>+G4*$E$3</f>
        <v>7175.9999999999991</v>
      </c>
      <c r="I4" s="4">
        <f>+'Chiffre d''affaire'!M4/36</f>
        <v>13753.999999999996</v>
      </c>
      <c r="J4" s="4">
        <f t="shared" ref="H4:J9" si="3">+I4*$E$3</f>
        <v>8252.3999999999978</v>
      </c>
      <c r="K4" s="4">
        <f>+'Chiffre d''affaire'!O4/36</f>
        <v>15817.099999999997</v>
      </c>
      <c r="L4" s="4">
        <f t="shared" ref="L4" si="4">+K4*$E$3</f>
        <v>9490.2599999999984</v>
      </c>
      <c r="M4" s="4">
        <f>+'Chiffre d''affaire'!Q4/36</f>
        <v>18189.664999999994</v>
      </c>
      <c r="N4" s="4">
        <f t="shared" ref="N4" si="5">+M4*$E$3</f>
        <v>10913.798999999995</v>
      </c>
      <c r="O4" s="4">
        <f>+'Chiffre d''affaire'!S4/36</f>
        <v>18189.664999999994</v>
      </c>
      <c r="P4" s="4">
        <f t="shared" ref="P4:P9" si="6">+O4*$E$3</f>
        <v>10913.798999999995</v>
      </c>
      <c r="Q4" s="4">
        <f>+'Chiffre d''affaire'!U4/36</f>
        <v>18189.664999999994</v>
      </c>
      <c r="R4" s="4">
        <f t="shared" ref="R4:R9" si="7">+Q4*$E$3</f>
        <v>10913.798999999995</v>
      </c>
    </row>
    <row r="5" spans="1:18">
      <c r="A5" s="3" t="s">
        <v>7</v>
      </c>
      <c r="B5" s="4">
        <f>+'Chiffre d''affaire'!F5</f>
        <v>37440</v>
      </c>
      <c r="C5" s="4">
        <f t="shared" si="0"/>
        <v>374400</v>
      </c>
      <c r="D5" s="4">
        <f t="shared" si="1"/>
        <v>10400</v>
      </c>
      <c r="E5" s="4">
        <f>+Données!$B$20</f>
        <v>0.6</v>
      </c>
      <c r="F5" s="4">
        <f t="shared" si="2"/>
        <v>6240</v>
      </c>
      <c r="G5" s="4">
        <f>+'Chiffre d''affaire'!K5/36</f>
        <v>11959.999999999998</v>
      </c>
      <c r="H5" s="4">
        <f>+G5*$E$3</f>
        <v>7175.9999999999991</v>
      </c>
      <c r="I5" s="4">
        <f>+'Chiffre d''affaire'!M5/36</f>
        <v>13753.999999999996</v>
      </c>
      <c r="J5" s="4">
        <f t="shared" si="3"/>
        <v>8252.3999999999978</v>
      </c>
      <c r="K5" s="4">
        <f>+'Chiffre d''affaire'!O5/36</f>
        <v>15817.099999999997</v>
      </c>
      <c r="L5" s="4">
        <f t="shared" ref="L5" si="8">+K5*$E$3</f>
        <v>9490.2599999999984</v>
      </c>
      <c r="M5" s="4">
        <f>+'Chiffre d''affaire'!Q5/36</f>
        <v>18189.664999999994</v>
      </c>
      <c r="N5" s="4">
        <f t="shared" ref="N5" si="9">+M5*$E$3</f>
        <v>10913.798999999995</v>
      </c>
      <c r="O5" s="4">
        <f>+'Chiffre d''affaire'!S5/36</f>
        <v>18189.664999999994</v>
      </c>
      <c r="P5" s="4">
        <f t="shared" si="6"/>
        <v>10913.798999999995</v>
      </c>
      <c r="Q5" s="4">
        <f>+'Chiffre d''affaire'!U5/36</f>
        <v>18189.664999999994</v>
      </c>
      <c r="R5" s="4">
        <f t="shared" si="7"/>
        <v>10913.798999999995</v>
      </c>
    </row>
    <row r="6" spans="1:18">
      <c r="A6" s="10" t="s">
        <v>45</v>
      </c>
      <c r="B6" s="4">
        <f>+'Chiffre d''affaire'!F6</f>
        <v>4200</v>
      </c>
      <c r="C6" s="4">
        <f t="shared" si="0"/>
        <v>42000</v>
      </c>
      <c r="D6" s="4">
        <f t="shared" si="1"/>
        <v>1166.6666666666667</v>
      </c>
      <c r="E6" s="4">
        <f>+Données!$B$20</f>
        <v>0.6</v>
      </c>
      <c r="F6" s="4">
        <f t="shared" si="2"/>
        <v>700</v>
      </c>
      <c r="G6" s="4">
        <f>+'Chiffre d''affaire'!K6/36</f>
        <v>1341.6666666666665</v>
      </c>
      <c r="H6" s="4">
        <f t="shared" si="3"/>
        <v>804.99999999999989</v>
      </c>
      <c r="I6" s="4">
        <f>+'Chiffre d''affaire'!M6/36</f>
        <v>1542.9166666666663</v>
      </c>
      <c r="J6" s="4">
        <f t="shared" si="3"/>
        <v>925.74999999999977</v>
      </c>
      <c r="K6" s="4">
        <f>+'Chiffre d''affaire'!O6/36</f>
        <v>1774.3541666666661</v>
      </c>
      <c r="L6" s="4">
        <f t="shared" ref="L6" si="10">+K6*$E$3</f>
        <v>1064.6124999999995</v>
      </c>
      <c r="M6" s="4">
        <f>+'Chiffre d''affaire'!Q6/36</f>
        <v>2040.5072916666659</v>
      </c>
      <c r="N6" s="4">
        <f t="shared" ref="N6" si="11">+M6*$E$3</f>
        <v>1224.3043749999995</v>
      </c>
      <c r="O6" s="4">
        <f>+'Chiffre d''affaire'!S6/36</f>
        <v>2040.5072916666659</v>
      </c>
      <c r="P6" s="4">
        <f t="shared" si="6"/>
        <v>1224.3043749999995</v>
      </c>
      <c r="Q6" s="4">
        <f>+'Chiffre d''affaire'!U6/36</f>
        <v>2040.5072916666659</v>
      </c>
      <c r="R6" s="4">
        <f t="shared" si="7"/>
        <v>1224.3043749999995</v>
      </c>
    </row>
    <row r="7" spans="1:18">
      <c r="A7" s="10" t="s">
        <v>43</v>
      </c>
      <c r="B7" s="4">
        <f>+'Chiffre d''affaire'!F7</f>
        <v>4200</v>
      </c>
      <c r="C7" s="4">
        <f t="shared" si="0"/>
        <v>42000</v>
      </c>
      <c r="D7" s="4">
        <f t="shared" si="1"/>
        <v>1166.6666666666667</v>
      </c>
      <c r="E7" s="4">
        <f>+Données!$B$20</f>
        <v>0.6</v>
      </c>
      <c r="F7" s="4">
        <f t="shared" si="2"/>
        <v>700</v>
      </c>
      <c r="G7" s="4">
        <f>+'Chiffre d''affaire'!K7/36</f>
        <v>1341.6666666666665</v>
      </c>
      <c r="H7" s="4">
        <f t="shared" si="3"/>
        <v>804.99999999999989</v>
      </c>
      <c r="I7" s="4">
        <f>+'Chiffre d''affaire'!M7/36</f>
        <v>1542.9166666666663</v>
      </c>
      <c r="J7" s="4">
        <f t="shared" si="3"/>
        <v>925.74999999999977</v>
      </c>
      <c r="K7" s="4">
        <f>+'Chiffre d''affaire'!O7/36</f>
        <v>1774.3541666666661</v>
      </c>
      <c r="L7" s="4">
        <f t="shared" ref="L7" si="12">+K7*$E$3</f>
        <v>1064.6124999999995</v>
      </c>
      <c r="M7" s="4">
        <f>+'Chiffre d''affaire'!Q7/36</f>
        <v>2040.5072916666659</v>
      </c>
      <c r="N7" s="4">
        <f t="shared" ref="N7" si="13">+M7*$E$3</f>
        <v>1224.3043749999995</v>
      </c>
      <c r="O7" s="4">
        <f>+'Chiffre d''affaire'!S7/36</f>
        <v>2040.5072916666659</v>
      </c>
      <c r="P7" s="4">
        <f t="shared" si="6"/>
        <v>1224.3043749999995</v>
      </c>
      <c r="Q7" s="4">
        <f>+'Chiffre d''affaire'!U7/36</f>
        <v>2040.5072916666659</v>
      </c>
      <c r="R7" s="4">
        <f t="shared" si="7"/>
        <v>1224.3043749999995</v>
      </c>
    </row>
    <row r="8" spans="1:18">
      <c r="A8" s="10" t="s">
        <v>44</v>
      </c>
      <c r="B8" s="4">
        <f>+'Chiffre d''affaire'!F8</f>
        <v>4200</v>
      </c>
      <c r="C8" s="4">
        <f t="shared" si="0"/>
        <v>42000</v>
      </c>
      <c r="D8" s="4">
        <f t="shared" si="1"/>
        <v>1166.6666666666667</v>
      </c>
      <c r="E8" s="4">
        <f>+Données!$B$20</f>
        <v>0.6</v>
      </c>
      <c r="F8" s="4">
        <f t="shared" si="2"/>
        <v>700</v>
      </c>
      <c r="G8" s="4">
        <f>+'Chiffre d''affaire'!K8/36</f>
        <v>1341.6666666666665</v>
      </c>
      <c r="H8" s="4">
        <f t="shared" si="3"/>
        <v>804.99999999999989</v>
      </c>
      <c r="I8" s="4">
        <f>+'Chiffre d''affaire'!M8/36</f>
        <v>1542.9166666666663</v>
      </c>
      <c r="J8" s="4">
        <f t="shared" si="3"/>
        <v>925.74999999999977</v>
      </c>
      <c r="K8" s="4">
        <f>+'Chiffre d''affaire'!O8/36</f>
        <v>1774.3541666666661</v>
      </c>
      <c r="L8" s="4">
        <f t="shared" ref="L8" si="14">+K8*$E$3</f>
        <v>1064.6124999999995</v>
      </c>
      <c r="M8" s="4">
        <f>+'Chiffre d''affaire'!Q8/36</f>
        <v>2040.5072916666659</v>
      </c>
      <c r="N8" s="4">
        <f t="shared" ref="N8" si="15">+M8*$E$3</f>
        <v>1224.3043749999995</v>
      </c>
      <c r="O8" s="4">
        <f>+'Chiffre d''affaire'!S8/36</f>
        <v>2040.5072916666659</v>
      </c>
      <c r="P8" s="4">
        <f t="shared" si="6"/>
        <v>1224.3043749999995</v>
      </c>
      <c r="Q8" s="4">
        <f>+'Chiffre d''affaire'!U8/36</f>
        <v>2040.5072916666659</v>
      </c>
      <c r="R8" s="4">
        <f t="shared" si="7"/>
        <v>1224.3043749999995</v>
      </c>
    </row>
    <row r="9" spans="1:18">
      <c r="A9" s="10" t="s">
        <v>92</v>
      </c>
      <c r="B9" s="4">
        <f>+'Chiffre d''affaire'!F9</f>
        <v>4200</v>
      </c>
      <c r="C9" s="4">
        <f t="shared" si="0"/>
        <v>42000</v>
      </c>
      <c r="D9" s="4">
        <f t="shared" si="1"/>
        <v>1166.6666666666667</v>
      </c>
      <c r="E9" s="4">
        <f>+Données!$B$20</f>
        <v>0.6</v>
      </c>
      <c r="F9" s="4">
        <f t="shared" si="2"/>
        <v>700</v>
      </c>
      <c r="G9" s="4">
        <f>+'Chiffre d''affaire'!K9/36</f>
        <v>1341.6666666666665</v>
      </c>
      <c r="H9" s="4">
        <f t="shared" si="3"/>
        <v>804.99999999999989</v>
      </c>
      <c r="I9" s="4">
        <f>+'Chiffre d''affaire'!M9/36</f>
        <v>1542.9166666666663</v>
      </c>
      <c r="J9" s="4">
        <f t="shared" si="3"/>
        <v>925.74999999999977</v>
      </c>
      <c r="K9" s="4">
        <f>+'Chiffre d''affaire'!O9/36</f>
        <v>1774.3541666666661</v>
      </c>
      <c r="L9" s="4">
        <f t="shared" ref="L9" si="16">+K9*$E$3</f>
        <v>1064.6124999999995</v>
      </c>
      <c r="M9" s="4">
        <f>+'Chiffre d''affaire'!Q9/36</f>
        <v>2040.5072916666659</v>
      </c>
      <c r="N9" s="4">
        <f t="shared" ref="N9" si="17">+M9*$E$3</f>
        <v>1224.3043749999995</v>
      </c>
      <c r="O9" s="4">
        <f>+'Chiffre d''affaire'!S9/36</f>
        <v>2040.5072916666659</v>
      </c>
      <c r="P9" s="4">
        <f t="shared" si="6"/>
        <v>1224.3043749999995</v>
      </c>
      <c r="Q9" s="4">
        <f>+'Chiffre d''affaire'!U9/36</f>
        <v>2040.5072916666659</v>
      </c>
      <c r="R9" s="4">
        <f t="shared" si="7"/>
        <v>1224.3043749999995</v>
      </c>
    </row>
    <row r="10" spans="1:18" ht="15.75" thickBot="1">
      <c r="A10" s="7"/>
      <c r="B10" s="8">
        <f>SUM(B3:B9)</f>
        <v>129120</v>
      </c>
      <c r="C10" s="8">
        <f>SUM(C3:C9)</f>
        <v>1291200</v>
      </c>
      <c r="D10" s="8">
        <f>SUM(D3:D9)</f>
        <v>35866.666666666664</v>
      </c>
      <c r="E10" s="8">
        <f t="shared" ref="E10" si="18">SUM(E3:E9)</f>
        <v>4.2</v>
      </c>
      <c r="F10" s="8">
        <f>SUM(F3:F9)</f>
        <v>21520</v>
      </c>
      <c r="G10" s="8">
        <f>SUM(G3:G9)</f>
        <v>41246.66666666665</v>
      </c>
      <c r="H10" s="8">
        <f t="shared" ref="H10:J10" si="19">SUM(H3:H9)</f>
        <v>24747.999999999996</v>
      </c>
      <c r="I10" s="8">
        <f>SUM(I3:I9)</f>
        <v>47433.666666666642</v>
      </c>
      <c r="J10" s="8">
        <f t="shared" si="19"/>
        <v>28460.199999999993</v>
      </c>
      <c r="K10" s="8">
        <f>SUM(K3:K9)</f>
        <v>54548.716666666645</v>
      </c>
      <c r="L10" s="8">
        <f t="shared" ref="L10" si="20">SUM(L3:L9)</f>
        <v>32729.229999999992</v>
      </c>
      <c r="M10" s="8">
        <f>SUM(M3:M9)</f>
        <v>62731.024166666655</v>
      </c>
      <c r="N10" s="8">
        <f t="shared" ref="N10:P10" si="21">SUM(N3:N9)</f>
        <v>37638.614499999981</v>
      </c>
      <c r="O10" s="8">
        <f>SUM(O3:O9)</f>
        <v>62731.024166666655</v>
      </c>
      <c r="P10" s="8">
        <f t="shared" si="21"/>
        <v>37638.614499999981</v>
      </c>
      <c r="Q10" s="8">
        <f>SUM(Q3:Q9)</f>
        <v>62731.024166666655</v>
      </c>
      <c r="R10" s="8">
        <f t="shared" ref="R10" si="22">SUM(R3:R9)</f>
        <v>37638.614499999981</v>
      </c>
    </row>
    <row r="11" spans="1:18" ht="15.75" thickTop="1"/>
    <row r="12" spans="1:18">
      <c r="H12">
        <f>+(H10-F10)/F10</f>
        <v>0.14999999999999983</v>
      </c>
      <c r="J12">
        <f>+(J10-H10)/H10</f>
        <v>0.14999999999999991</v>
      </c>
      <c r="L12">
        <f>+(L10-J10)/J10</f>
        <v>0.15</v>
      </c>
      <c r="N12">
        <f>+(N10-L10)/L10</f>
        <v>0.14999999999999972</v>
      </c>
      <c r="P12">
        <f>+(P10-N10)/N10</f>
        <v>0</v>
      </c>
      <c r="R12">
        <f>+(R10-P10)/P10</f>
        <v>0</v>
      </c>
    </row>
  </sheetData>
  <mergeCells count="7">
    <mergeCell ref="O1:P1"/>
    <mergeCell ref="Q1:R1"/>
    <mergeCell ref="G1:H1"/>
    <mergeCell ref="I1:J1"/>
    <mergeCell ref="B1:F1"/>
    <mergeCell ref="K1:L1"/>
    <mergeCell ref="M1:N1"/>
  </mergeCells>
  <pageMargins left="0.7" right="0.7" top="0.75" bottom="0.75" header="0.3" footer="0.3"/>
  <ignoredErrors>
    <ignoredError sqref="K3:K9 M3:M9 I3:I9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71"/>
  <sheetViews>
    <sheetView workbookViewId="0">
      <selection activeCell="C3" sqref="C3"/>
    </sheetView>
  </sheetViews>
  <sheetFormatPr baseColWidth="10" defaultColWidth="24" defaultRowHeight="12.75"/>
  <cols>
    <col min="1" max="1" width="46" style="173" bestFit="1" customWidth="1"/>
    <col min="2" max="2" width="21" style="173" bestFit="1" customWidth="1"/>
    <col min="3" max="3" width="30.5703125" style="173" bestFit="1" customWidth="1"/>
    <col min="4" max="7" width="12.28515625" style="173" bestFit="1" customWidth="1"/>
    <col min="8" max="9" width="12.28515625" style="173" customWidth="1"/>
    <col min="10" max="10" width="10" style="173" bestFit="1" customWidth="1"/>
    <col min="11" max="16384" width="24" style="173"/>
  </cols>
  <sheetData>
    <row r="1" spans="1:11" ht="13.5" thickBot="1"/>
    <row r="2" spans="1:11" ht="13.5" thickTop="1">
      <c r="A2" s="174" t="s">
        <v>166</v>
      </c>
      <c r="B2" s="174" t="s">
        <v>201</v>
      </c>
      <c r="C2" s="174">
        <v>2016</v>
      </c>
      <c r="D2" s="174">
        <v>2017</v>
      </c>
      <c r="E2" s="174">
        <v>2018</v>
      </c>
      <c r="F2" s="174">
        <v>2019</v>
      </c>
      <c r="G2" s="174">
        <v>2020</v>
      </c>
      <c r="H2" s="174">
        <v>2021</v>
      </c>
      <c r="I2" s="174">
        <v>2022</v>
      </c>
      <c r="J2" s="173" t="s">
        <v>262</v>
      </c>
    </row>
    <row r="3" spans="1:11">
      <c r="A3" s="187" t="s">
        <v>122</v>
      </c>
      <c r="B3" s="187"/>
      <c r="C3" s="188">
        <f>+'Ach prévisionnel'!C43</f>
        <v>1935840</v>
      </c>
      <c r="D3" s="188">
        <f>+'Ach prévisionnel'!D43</f>
        <v>2226216</v>
      </c>
      <c r="E3" s="188">
        <f>+'Ach prévisionnel'!E43</f>
        <v>2560148.3999999994</v>
      </c>
      <c r="F3" s="188">
        <f>+'Ach prévisionnel'!F43</f>
        <v>2944170.6599999983</v>
      </c>
      <c r="G3" s="188">
        <f>+'Ach prévisionnel'!G43</f>
        <v>3385796.2589999991</v>
      </c>
      <c r="H3" s="188">
        <f>+'Ach prévisionnel'!H43</f>
        <v>3385796.2589999991</v>
      </c>
      <c r="I3" s="188">
        <f>+'Ach prévisionnel'!I43</f>
        <v>3385796.2589999991</v>
      </c>
      <c r="K3" s="195"/>
    </row>
    <row r="4" spans="1:11">
      <c r="A4" s="175" t="s">
        <v>439</v>
      </c>
      <c r="B4" s="175" t="s">
        <v>473</v>
      </c>
      <c r="C4" s="176">
        <f>+(Investissements!$C$23+Investissements!$C$29)*4%</f>
        <v>15902.716000000002</v>
      </c>
      <c r="D4" s="176">
        <f>+(Investissements!$C$23+Investissements!$C$29)*4%</f>
        <v>15902.716000000002</v>
      </c>
      <c r="E4" s="176">
        <f>+(Investissements!$C$23+Investissements!$C$29)*4%</f>
        <v>15902.716000000002</v>
      </c>
      <c r="F4" s="176">
        <f>+(Investissements!$C$23+Investissements!$C$29)*4%</f>
        <v>15902.716000000002</v>
      </c>
      <c r="G4" s="176">
        <f>+(Investissements!$C$23+Investissements!$C$29)*4%</f>
        <v>15902.716000000002</v>
      </c>
      <c r="H4" s="176">
        <f>+(Investissements!$C$23+Investissements!$C$29)*4%</f>
        <v>15902.716000000002</v>
      </c>
      <c r="I4" s="176">
        <f>+(Investissements!$C$23+Investissements!$C$29)*4%</f>
        <v>15902.716000000002</v>
      </c>
      <c r="J4" s="173">
        <f>+C4*0.18</f>
        <v>2862.4888800000003</v>
      </c>
    </row>
    <row r="5" spans="1:11">
      <c r="A5" s="175" t="s">
        <v>431</v>
      </c>
      <c r="B5" s="175" t="s">
        <v>511</v>
      </c>
      <c r="C5" s="176">
        <f>+C3*0.005</f>
        <v>9679.2000000000007</v>
      </c>
      <c r="D5" s="176">
        <f t="shared" ref="D5:I5" si="0">+D3*0.005</f>
        <v>11131.08</v>
      </c>
      <c r="E5" s="176">
        <f t="shared" si="0"/>
        <v>12800.741999999998</v>
      </c>
      <c r="F5" s="176">
        <f t="shared" si="0"/>
        <v>14720.853299999992</v>
      </c>
      <c r="G5" s="176">
        <f t="shared" si="0"/>
        <v>16928.981294999998</v>
      </c>
      <c r="H5" s="176">
        <f t="shared" si="0"/>
        <v>16928.981294999998</v>
      </c>
      <c r="I5" s="176">
        <f t="shared" si="0"/>
        <v>16928.981294999998</v>
      </c>
      <c r="J5" s="173">
        <f>+C5*0.18</f>
        <v>1742.2560000000001</v>
      </c>
    </row>
    <row r="6" spans="1:11">
      <c r="A6" s="175" t="s">
        <v>200</v>
      </c>
      <c r="B6" s="271" t="s">
        <v>512</v>
      </c>
      <c r="C6" s="176">
        <f>+C3*0.03</f>
        <v>58075.199999999997</v>
      </c>
      <c r="D6" s="176">
        <f t="shared" ref="D6:I6" si="1">+D3*0.03</f>
        <v>66786.48</v>
      </c>
      <c r="E6" s="176">
        <f t="shared" si="1"/>
        <v>76804.451999999976</v>
      </c>
      <c r="F6" s="176">
        <f t="shared" si="1"/>
        <v>88325.119799999942</v>
      </c>
      <c r="G6" s="176">
        <f t="shared" si="1"/>
        <v>101573.88776999997</v>
      </c>
      <c r="H6" s="176">
        <f t="shared" si="1"/>
        <v>101573.88776999997</v>
      </c>
      <c r="I6" s="176">
        <f t="shared" si="1"/>
        <v>101573.88776999997</v>
      </c>
      <c r="J6" s="173">
        <f>+C6*0.12</f>
        <v>6969.0239999999994</v>
      </c>
    </row>
    <row r="7" spans="1:11">
      <c r="A7" s="173" t="s">
        <v>206</v>
      </c>
      <c r="B7" s="173" t="s">
        <v>207</v>
      </c>
      <c r="C7" s="176">
        <f>+C3*3.5%</f>
        <v>67754.400000000009</v>
      </c>
      <c r="D7" s="176">
        <f>+D3*3.5%</f>
        <v>77917.560000000012</v>
      </c>
      <c r="E7" s="176">
        <f t="shared" ref="E7:F7" si="2">+E3*3.5%</f>
        <v>89605.193999999989</v>
      </c>
      <c r="F7" s="176">
        <f t="shared" si="2"/>
        <v>103045.97309999994</v>
      </c>
      <c r="G7" s="176">
        <f>+G3*3.5%</f>
        <v>118502.86906499998</v>
      </c>
      <c r="H7" s="176">
        <f t="shared" ref="H7:I7" si="3">+H3*3.5%</f>
        <v>118502.86906499998</v>
      </c>
      <c r="I7" s="176">
        <f t="shared" si="3"/>
        <v>118502.86906499998</v>
      </c>
      <c r="J7" s="173">
        <f>+C7*0.18</f>
        <v>12195.792000000001</v>
      </c>
    </row>
    <row r="8" spans="1:11">
      <c r="A8" s="173" t="s">
        <v>269</v>
      </c>
      <c r="B8" s="173" t="s">
        <v>342</v>
      </c>
      <c r="C8" s="176">
        <v>25000</v>
      </c>
      <c r="D8" s="176">
        <f>+C8*1.05</f>
        <v>26250</v>
      </c>
      <c r="E8" s="176">
        <f t="shared" ref="E8:F8" si="4">+D8*1.05</f>
        <v>27562.5</v>
      </c>
      <c r="F8" s="176">
        <f t="shared" si="4"/>
        <v>28940.625</v>
      </c>
      <c r="G8" s="176">
        <f>+F8*1.05</f>
        <v>30387.65625</v>
      </c>
      <c r="H8" s="176">
        <f>+G8*1.05</f>
        <v>31907.0390625</v>
      </c>
      <c r="I8" s="176">
        <f>+H8*1.05</f>
        <v>33502.391015624999</v>
      </c>
      <c r="J8" s="173">
        <f>+C8*0.18</f>
        <v>4500</v>
      </c>
    </row>
    <row r="9" spans="1:11">
      <c r="A9" s="173" t="s">
        <v>430</v>
      </c>
      <c r="B9" s="189" t="s">
        <v>475</v>
      </c>
      <c r="C9" s="176">
        <v>6000</v>
      </c>
      <c r="D9" s="176">
        <f>+C9*1.05</f>
        <v>6300</v>
      </c>
      <c r="E9" s="176">
        <f t="shared" ref="E9:G10" si="5">+D9*1.05</f>
        <v>6615</v>
      </c>
      <c r="F9" s="176">
        <f t="shared" si="5"/>
        <v>6945.75</v>
      </c>
      <c r="G9" s="176">
        <f t="shared" si="5"/>
        <v>7293.0375000000004</v>
      </c>
      <c r="H9" s="176">
        <f>+G9*1.05</f>
        <v>7657.6893750000008</v>
      </c>
      <c r="I9" s="176">
        <f>+H9*1.05</f>
        <v>8040.5738437500013</v>
      </c>
      <c r="J9" s="173">
        <f>+C9*0.12</f>
        <v>720</v>
      </c>
    </row>
    <row r="10" spans="1:11">
      <c r="A10" s="173" t="s">
        <v>471</v>
      </c>
      <c r="B10" s="189" t="s">
        <v>475</v>
      </c>
      <c r="C10" s="176">
        <v>15000</v>
      </c>
      <c r="D10" s="176">
        <f>+C10*1.05</f>
        <v>15750</v>
      </c>
      <c r="E10" s="176">
        <f t="shared" si="5"/>
        <v>16537.5</v>
      </c>
      <c r="F10" s="176">
        <f t="shared" si="5"/>
        <v>17364.375</v>
      </c>
      <c r="G10" s="176">
        <f>+F10*1.05</f>
        <v>18232.59375</v>
      </c>
      <c r="H10" s="176">
        <f>+G10*1.05</f>
        <v>19144.223437500001</v>
      </c>
      <c r="I10" s="176">
        <f>+H10*1.05</f>
        <v>20101.434609375003</v>
      </c>
      <c r="J10" s="173">
        <f>+C10*0.18</f>
        <v>2700</v>
      </c>
    </row>
    <row r="11" spans="1:11">
      <c r="C11" s="176"/>
      <c r="D11" s="176"/>
      <c r="E11" s="176"/>
      <c r="F11" s="176"/>
      <c r="G11" s="176"/>
      <c r="H11" s="176"/>
      <c r="I11" s="176"/>
    </row>
    <row r="12" spans="1:11" ht="15.75" customHeight="1">
      <c r="A12" s="173" t="s">
        <v>350</v>
      </c>
      <c r="B12" s="189" t="s">
        <v>474</v>
      </c>
      <c r="C12" s="176">
        <v>4500</v>
      </c>
      <c r="D12" s="176">
        <f>+C12*1.03</f>
        <v>4635</v>
      </c>
      <c r="E12" s="176">
        <f>+D12*1.03</f>
        <v>4774.05</v>
      </c>
      <c r="F12" s="176">
        <f>+E12*1.03</f>
        <v>4917.2715000000007</v>
      </c>
      <c r="G12" s="176">
        <f>+F12*1.03</f>
        <v>5064.7896450000007</v>
      </c>
      <c r="H12" s="176">
        <f t="shared" ref="H12:I12" si="6">+G12*1.03</f>
        <v>5216.7333343500013</v>
      </c>
      <c r="I12" s="176">
        <f t="shared" si="6"/>
        <v>5373.2353343805016</v>
      </c>
    </row>
    <row r="13" spans="1:11" ht="15.75" customHeight="1">
      <c r="A13" s="173" t="s">
        <v>347</v>
      </c>
      <c r="C13" s="176">
        <f>+SALAIRE!C17*1%</f>
        <v>1332</v>
      </c>
      <c r="D13" s="176">
        <f>+SALAIRE!D17*1%</f>
        <v>1411.92</v>
      </c>
      <c r="E13" s="176">
        <f>+SALAIRE!E17*1%</f>
        <v>1496.6352000000002</v>
      </c>
      <c r="F13" s="176">
        <f>+SALAIRE!F17*1%</f>
        <v>1729.3552320000006</v>
      </c>
      <c r="G13" s="176">
        <f>+SALAIRE!G17*1%</f>
        <v>1833.1165459200006</v>
      </c>
      <c r="H13" s="176">
        <f>+SALAIRE!H17*1%</f>
        <v>1833.1165459200006</v>
      </c>
      <c r="I13" s="176">
        <f>+SALAIRE!I17*1%</f>
        <v>1833.1165459200006</v>
      </c>
    </row>
    <row r="14" spans="1:11" ht="15.75" customHeight="1">
      <c r="A14" s="173" t="s">
        <v>348</v>
      </c>
      <c r="C14" s="176">
        <f>+C13</f>
        <v>1332</v>
      </c>
      <c r="D14" s="176">
        <f>+D13</f>
        <v>1411.92</v>
      </c>
      <c r="E14" s="176">
        <f>+E13</f>
        <v>1496.6352000000002</v>
      </c>
      <c r="F14" s="176">
        <f>+F13</f>
        <v>1729.3552320000006</v>
      </c>
      <c r="G14" s="176">
        <f>+G13</f>
        <v>1833.1165459200006</v>
      </c>
      <c r="H14" s="176">
        <f t="shared" ref="H14:I14" si="7">+H13</f>
        <v>1833.1165459200006</v>
      </c>
      <c r="I14" s="176">
        <f t="shared" si="7"/>
        <v>1833.1165459200006</v>
      </c>
    </row>
    <row r="15" spans="1:11" ht="15.75" customHeight="1">
      <c r="A15" s="173" t="s">
        <v>349</v>
      </c>
      <c r="C15" s="176">
        <f>+C3*1.06*0.2%</f>
        <v>4103.9808000000003</v>
      </c>
      <c r="D15" s="176">
        <f>+D3*1.06*0.2%</f>
        <v>4719.5779199999997</v>
      </c>
      <c r="E15" s="176">
        <f t="shared" ref="E15:I15" si="8">+E3*1.06*0.2%</f>
        <v>5427.5146079999995</v>
      </c>
      <c r="F15" s="176">
        <f t="shared" si="8"/>
        <v>6241.641799199997</v>
      </c>
      <c r="G15" s="176">
        <f t="shared" si="8"/>
        <v>7177.8880690799988</v>
      </c>
      <c r="H15" s="176">
        <f>+H3*1.06*0.2%</f>
        <v>7177.8880690799988</v>
      </c>
      <c r="I15" s="176">
        <f t="shared" si="8"/>
        <v>7177.8880690799988</v>
      </c>
    </row>
    <row r="16" spans="1:11" ht="13.5" thickBot="1">
      <c r="A16" s="177" t="s">
        <v>59</v>
      </c>
      <c r="B16" s="177"/>
      <c r="C16" s="179">
        <f>SUM(C4:C15)</f>
        <v>208679.49679999999</v>
      </c>
      <c r="D16" s="179">
        <f t="shared" ref="D16:G16" si="9">SUM(D4:D15)</f>
        <v>232216.25392000005</v>
      </c>
      <c r="E16" s="179">
        <f t="shared" si="9"/>
        <v>259022.93900799993</v>
      </c>
      <c r="F16" s="179">
        <f t="shared" si="9"/>
        <v>289863.03596319986</v>
      </c>
      <c r="G16" s="179">
        <f t="shared" si="9"/>
        <v>324730.65243592003</v>
      </c>
      <c r="H16" s="179">
        <f>SUM(H4:H15)</f>
        <v>327678.26050027006</v>
      </c>
      <c r="I16" s="179">
        <f>SUM(I4:I15)</f>
        <v>330770.21009405056</v>
      </c>
      <c r="J16" s="179">
        <f>SUM(J4:J15)</f>
        <v>31689.560880000001</v>
      </c>
    </row>
    <row r="17" spans="1:9" ht="13.5" thickTop="1"/>
    <row r="18" spans="1:9">
      <c r="B18" s="195"/>
      <c r="D18" s="189">
        <f>+(D16-C16)/C16</f>
        <v>0.11278902566339739</v>
      </c>
      <c r="E18" s="189">
        <f>+(E16-D16)/D16</f>
        <v>0.11543845288812106</v>
      </c>
      <c r="F18" s="189">
        <f t="shared" ref="F18:G18" si="10">+(F16-E16)/E16</f>
        <v>0.11906318827711021</v>
      </c>
      <c r="G18" s="189">
        <f t="shared" si="10"/>
        <v>0.12028997197540861</v>
      </c>
      <c r="H18" s="189">
        <f>+(H16-G16)/G16</f>
        <v>9.0770860164846659E-3</v>
      </c>
      <c r="I18" s="189">
        <f t="shared" ref="I18" si="11">+(I16-H16)/H16</f>
        <v>9.4359314196187146E-3</v>
      </c>
    </row>
    <row r="19" spans="1:9">
      <c r="A19" s="173" t="s">
        <v>438</v>
      </c>
      <c r="C19" s="195"/>
    </row>
    <row r="22" spans="1:9" ht="13.5" thickBot="1">
      <c r="A22" s="306" t="s">
        <v>154</v>
      </c>
      <c r="B22" s="306">
        <v>2016</v>
      </c>
      <c r="C22" s="306">
        <v>2017</v>
      </c>
      <c r="D22" s="306">
        <v>2018</v>
      </c>
      <c r="E22" s="306">
        <v>2019</v>
      </c>
      <c r="F22" s="306">
        <v>2020</v>
      </c>
      <c r="G22" s="306">
        <v>2021</v>
      </c>
      <c r="H22" s="306">
        <v>2022</v>
      </c>
    </row>
    <row r="23" spans="1:9" ht="13.5" thickTop="1">
      <c r="A23" s="390" t="s">
        <v>465</v>
      </c>
      <c r="B23" s="432">
        <f>+C7</f>
        <v>67754.400000000009</v>
      </c>
      <c r="C23" s="432">
        <f t="shared" ref="C23:H23" si="12">+D7</f>
        <v>77917.560000000012</v>
      </c>
      <c r="D23" s="432">
        <f t="shared" si="12"/>
        <v>89605.193999999989</v>
      </c>
      <c r="E23" s="432">
        <f t="shared" si="12"/>
        <v>103045.97309999994</v>
      </c>
      <c r="F23" s="432">
        <f t="shared" si="12"/>
        <v>118502.86906499998</v>
      </c>
      <c r="G23" s="432">
        <f t="shared" si="12"/>
        <v>118502.86906499998</v>
      </c>
      <c r="H23" s="432">
        <f t="shared" si="12"/>
        <v>118502.86906499998</v>
      </c>
    </row>
    <row r="24" spans="1:9">
      <c r="A24" s="390" t="s">
        <v>200</v>
      </c>
      <c r="B24" s="432">
        <f>+C6</f>
        <v>58075.199999999997</v>
      </c>
      <c r="C24" s="432">
        <f t="shared" ref="C24:H24" si="13">+D6</f>
        <v>66786.48</v>
      </c>
      <c r="D24" s="432">
        <f t="shared" si="13"/>
        <v>76804.451999999976</v>
      </c>
      <c r="E24" s="432">
        <f t="shared" si="13"/>
        <v>88325.119799999942</v>
      </c>
      <c r="F24" s="432">
        <f t="shared" si="13"/>
        <v>101573.88776999997</v>
      </c>
      <c r="G24" s="432">
        <f t="shared" si="13"/>
        <v>101573.88776999997</v>
      </c>
      <c r="H24" s="432">
        <f t="shared" si="13"/>
        <v>101573.88776999997</v>
      </c>
    </row>
    <row r="25" spans="1:9">
      <c r="A25" s="390" t="s">
        <v>466</v>
      </c>
      <c r="B25" s="432">
        <f>+C8</f>
        <v>25000</v>
      </c>
      <c r="C25" s="432">
        <f t="shared" ref="C25:H25" si="14">+D8</f>
        <v>26250</v>
      </c>
      <c r="D25" s="432">
        <f t="shared" si="14"/>
        <v>27562.5</v>
      </c>
      <c r="E25" s="432">
        <f t="shared" si="14"/>
        <v>28940.625</v>
      </c>
      <c r="F25" s="432">
        <f t="shared" si="14"/>
        <v>30387.65625</v>
      </c>
      <c r="G25" s="432">
        <f t="shared" si="14"/>
        <v>31907.0390625</v>
      </c>
      <c r="H25" s="432">
        <f t="shared" si="14"/>
        <v>33502.391015624999</v>
      </c>
    </row>
    <row r="26" spans="1:9">
      <c r="A26" s="390" t="s">
        <v>266</v>
      </c>
      <c r="B26" s="432">
        <f>+'Achat carton'!F10</f>
        <v>21520</v>
      </c>
      <c r="C26" s="432">
        <f>+'Achat carton'!H10</f>
        <v>24747.999999999996</v>
      </c>
      <c r="D26" s="432">
        <f>+'Achat carton'!J10</f>
        <v>28460.199999999993</v>
      </c>
      <c r="E26" s="432">
        <f>+'Achat carton'!L10</f>
        <v>32729.229999999992</v>
      </c>
      <c r="F26" s="432">
        <f>+'Achat carton'!N10</f>
        <v>37638.614499999981</v>
      </c>
      <c r="G26" s="432">
        <f>+'Achat carton'!O10</f>
        <v>62731.024166666655</v>
      </c>
      <c r="H26" s="432">
        <f>+'Achat carton'!P10</f>
        <v>37638.614499999981</v>
      </c>
    </row>
    <row r="27" spans="1:9">
      <c r="A27" s="390" t="s">
        <v>467</v>
      </c>
      <c r="B27" s="432">
        <f>+C4</f>
        <v>15902.716000000002</v>
      </c>
      <c r="C27" s="432">
        <f t="shared" ref="C27:H27" si="15">+D4</f>
        <v>15902.716000000002</v>
      </c>
      <c r="D27" s="432">
        <f t="shared" si="15"/>
        <v>15902.716000000002</v>
      </c>
      <c r="E27" s="432">
        <f t="shared" si="15"/>
        <v>15902.716000000002</v>
      </c>
      <c r="F27" s="432">
        <f t="shared" si="15"/>
        <v>15902.716000000002</v>
      </c>
      <c r="G27" s="432">
        <f t="shared" si="15"/>
        <v>15902.716000000002</v>
      </c>
      <c r="H27" s="432">
        <f t="shared" si="15"/>
        <v>15902.716000000002</v>
      </c>
    </row>
    <row r="28" spans="1:9">
      <c r="A28" s="390" t="s">
        <v>471</v>
      </c>
      <c r="B28" s="432">
        <f t="shared" ref="B28:H28" si="16">+C10</f>
        <v>15000</v>
      </c>
      <c r="C28" s="432">
        <f t="shared" si="16"/>
        <v>15750</v>
      </c>
      <c r="D28" s="432">
        <f t="shared" si="16"/>
        <v>16537.5</v>
      </c>
      <c r="E28" s="432">
        <f t="shared" si="16"/>
        <v>17364.375</v>
      </c>
      <c r="F28" s="432">
        <f t="shared" si="16"/>
        <v>18232.59375</v>
      </c>
      <c r="G28" s="432">
        <f t="shared" si="16"/>
        <v>19144.223437500001</v>
      </c>
      <c r="H28" s="432">
        <f t="shared" si="16"/>
        <v>20101.434609375003</v>
      </c>
    </row>
    <row r="29" spans="1:9">
      <c r="A29" s="390" t="s">
        <v>468</v>
      </c>
      <c r="B29" s="432">
        <f>+C9</f>
        <v>6000</v>
      </c>
      <c r="C29" s="432">
        <f t="shared" ref="C29:H29" si="17">+D9</f>
        <v>6300</v>
      </c>
      <c r="D29" s="432">
        <f t="shared" si="17"/>
        <v>6615</v>
      </c>
      <c r="E29" s="432">
        <f t="shared" si="17"/>
        <v>6945.75</v>
      </c>
      <c r="F29" s="432">
        <f t="shared" si="17"/>
        <v>7293.0375000000004</v>
      </c>
      <c r="G29" s="432">
        <f t="shared" si="17"/>
        <v>7657.6893750000008</v>
      </c>
      <c r="H29" s="432">
        <f t="shared" si="17"/>
        <v>8040.5738437500013</v>
      </c>
    </row>
    <row r="30" spans="1:9">
      <c r="A30" s="390" t="s">
        <v>349</v>
      </c>
      <c r="B30" s="432">
        <f>+C15</f>
        <v>4103.9808000000003</v>
      </c>
      <c r="C30" s="432">
        <f t="shared" ref="C30:H30" si="18">+D15</f>
        <v>4719.5779199999997</v>
      </c>
      <c r="D30" s="432">
        <f t="shared" si="18"/>
        <v>5427.5146079999995</v>
      </c>
      <c r="E30" s="432">
        <f t="shared" si="18"/>
        <v>6241.641799199997</v>
      </c>
      <c r="F30" s="432">
        <f t="shared" si="18"/>
        <v>7177.8880690799988</v>
      </c>
      <c r="G30" s="432">
        <f t="shared" si="18"/>
        <v>7177.8880690799988</v>
      </c>
      <c r="H30" s="432">
        <f t="shared" si="18"/>
        <v>7177.8880690799988</v>
      </c>
    </row>
    <row r="31" spans="1:9">
      <c r="A31" s="390" t="s">
        <v>469</v>
      </c>
      <c r="B31" s="432">
        <f>+C13+C14</f>
        <v>2664</v>
      </c>
      <c r="C31" s="432">
        <f t="shared" ref="C31:H31" si="19">+D13+D14</f>
        <v>2823.84</v>
      </c>
      <c r="D31" s="432">
        <f t="shared" si="19"/>
        <v>2993.2704000000003</v>
      </c>
      <c r="E31" s="432">
        <f t="shared" si="19"/>
        <v>3458.7104640000011</v>
      </c>
      <c r="F31" s="432">
        <f t="shared" si="19"/>
        <v>3666.2330918400012</v>
      </c>
      <c r="G31" s="432">
        <f t="shared" si="19"/>
        <v>3666.2330918400012</v>
      </c>
      <c r="H31" s="432">
        <f t="shared" si="19"/>
        <v>3666.2330918400012</v>
      </c>
    </row>
    <row r="32" spans="1:9">
      <c r="A32" s="390" t="s">
        <v>470</v>
      </c>
      <c r="B32" s="432">
        <f>+C12</f>
        <v>4500</v>
      </c>
      <c r="C32" s="432">
        <f t="shared" ref="C32:H32" si="20">+D12</f>
        <v>4635</v>
      </c>
      <c r="D32" s="432">
        <f t="shared" si="20"/>
        <v>4774.05</v>
      </c>
      <c r="E32" s="432">
        <f t="shared" si="20"/>
        <v>4917.2715000000007</v>
      </c>
      <c r="F32" s="432">
        <f t="shared" si="20"/>
        <v>5064.7896450000007</v>
      </c>
      <c r="G32" s="432">
        <f t="shared" si="20"/>
        <v>5216.7333343500013</v>
      </c>
      <c r="H32" s="432">
        <f t="shared" si="20"/>
        <v>5373.2353343805016</v>
      </c>
    </row>
    <row r="33" spans="1:8">
      <c r="A33" s="390" t="s">
        <v>472</v>
      </c>
      <c r="B33" s="432">
        <f>+C5</f>
        <v>9679.2000000000007</v>
      </c>
      <c r="C33" s="432">
        <f t="shared" ref="C33:H33" si="21">+D5</f>
        <v>11131.08</v>
      </c>
      <c r="D33" s="432">
        <f t="shared" si="21"/>
        <v>12800.741999999998</v>
      </c>
      <c r="E33" s="432">
        <f t="shared" si="21"/>
        <v>14720.853299999992</v>
      </c>
      <c r="F33" s="432">
        <f t="shared" si="21"/>
        <v>16928.981294999998</v>
      </c>
      <c r="G33" s="432">
        <f t="shared" si="21"/>
        <v>16928.981294999998</v>
      </c>
      <c r="H33" s="432">
        <f t="shared" si="21"/>
        <v>16928.981294999998</v>
      </c>
    </row>
    <row r="34" spans="1:8" s="279" customFormat="1">
      <c r="A34" s="303" t="s">
        <v>476</v>
      </c>
      <c r="B34" s="304">
        <f t="shared" ref="B34:H34" si="22">SUM(B23:B33)</f>
        <v>230199.49680000002</v>
      </c>
      <c r="C34" s="304">
        <f t="shared" si="22"/>
        <v>256964.25392000002</v>
      </c>
      <c r="D34" s="304">
        <f t="shared" si="22"/>
        <v>287483.13900799991</v>
      </c>
      <c r="E34" s="304">
        <f t="shared" si="22"/>
        <v>322592.26596319984</v>
      </c>
      <c r="F34" s="304">
        <f t="shared" si="22"/>
        <v>362369.26693591994</v>
      </c>
      <c r="G34" s="304">
        <f t="shared" si="22"/>
        <v>390409.28466693667</v>
      </c>
      <c r="H34" s="304">
        <f t="shared" si="22"/>
        <v>368408.82459405053</v>
      </c>
    </row>
    <row r="35" spans="1:8" s="276" customFormat="1">
      <c r="B35" s="277">
        <f>+B34-C16-'Achat carton'!F10</f>
        <v>2.9103830456733704E-11</v>
      </c>
      <c r="C35" s="277">
        <f>+C34-D16-'Achat carton'!H10</f>
        <v>0</v>
      </c>
      <c r="D35" s="277">
        <f>+D34-E16-'Achat carton'!J10</f>
        <v>0</v>
      </c>
      <c r="E35" s="277">
        <f>+E34-F16-'Achat carton'!L10</f>
        <v>0</v>
      </c>
      <c r="F35" s="277">
        <f>+F34-G16-'Achat carton'!N10</f>
        <v>-7.2759576141834259E-11</v>
      </c>
      <c r="G35" s="277">
        <f>+G34-H16-'Achat carton'!O10</f>
        <v>0</v>
      </c>
      <c r="H35" s="277">
        <f>+H34-I16-'Achat carton'!P10</f>
        <v>0</v>
      </c>
    </row>
    <row r="38" spans="1:8" ht="13.5" thickBot="1">
      <c r="A38" s="435" t="s">
        <v>61</v>
      </c>
      <c r="B38" s="306">
        <v>2016</v>
      </c>
      <c r="C38" s="306">
        <v>2017</v>
      </c>
      <c r="D38" s="306">
        <v>2018</v>
      </c>
      <c r="E38" s="306">
        <v>2019</v>
      </c>
      <c r="F38" s="306">
        <v>2020</v>
      </c>
      <c r="G38" s="306">
        <v>2021</v>
      </c>
      <c r="H38" s="306">
        <v>2022</v>
      </c>
    </row>
    <row r="39" spans="1:8" ht="13.5" thickTop="1">
      <c r="A39" s="390" t="s">
        <v>521</v>
      </c>
      <c r="B39" s="433">
        <f>+C3</f>
        <v>1935840</v>
      </c>
      <c r="C39" s="433">
        <f t="shared" ref="C39:H39" si="23">+D3</f>
        <v>2226216</v>
      </c>
      <c r="D39" s="433">
        <f t="shared" si="23"/>
        <v>2560148.3999999994</v>
      </c>
      <c r="E39" s="433">
        <f t="shared" si="23"/>
        <v>2944170.6599999983</v>
      </c>
      <c r="F39" s="433">
        <f t="shared" si="23"/>
        <v>3385796.2589999991</v>
      </c>
      <c r="G39" s="433">
        <f t="shared" si="23"/>
        <v>3385796.2589999991</v>
      </c>
      <c r="H39" s="433">
        <f t="shared" si="23"/>
        <v>3385796.2589999991</v>
      </c>
    </row>
    <row r="40" spans="1:8">
      <c r="A40" s="436" t="s">
        <v>200</v>
      </c>
      <c r="B40" s="434">
        <f>+B39*3%</f>
        <v>58075.199999999997</v>
      </c>
      <c r="C40" s="434">
        <f t="shared" ref="C40:H40" si="24">+C39*3%</f>
        <v>66786.48</v>
      </c>
      <c r="D40" s="434">
        <f t="shared" si="24"/>
        <v>76804.451999999976</v>
      </c>
      <c r="E40" s="434">
        <f t="shared" si="24"/>
        <v>88325.119799999942</v>
      </c>
      <c r="F40" s="434">
        <f t="shared" si="24"/>
        <v>101573.88776999997</v>
      </c>
      <c r="G40" s="434">
        <f t="shared" si="24"/>
        <v>101573.88776999997</v>
      </c>
      <c r="H40" s="434">
        <f t="shared" si="24"/>
        <v>101573.88776999997</v>
      </c>
    </row>
    <row r="42" spans="1:8" ht="13.5" thickBot="1">
      <c r="A42" s="435" t="s">
        <v>61</v>
      </c>
      <c r="B42" s="306">
        <v>2016</v>
      </c>
      <c r="C42" s="306">
        <v>2017</v>
      </c>
      <c r="D42" s="306">
        <v>2018</v>
      </c>
      <c r="E42" s="306">
        <v>2019</v>
      </c>
      <c r="F42" s="306">
        <v>2020</v>
      </c>
      <c r="G42" s="306">
        <v>2021</v>
      </c>
      <c r="H42" s="306">
        <v>2022</v>
      </c>
    </row>
    <row r="43" spans="1:8" ht="13.5" thickTop="1">
      <c r="A43" s="390" t="s">
        <v>522</v>
      </c>
      <c r="B43" s="433">
        <f>+Investissements!C29+Investissements!C23</f>
        <v>397567.9</v>
      </c>
      <c r="C43" s="433">
        <f>+B43</f>
        <v>397567.9</v>
      </c>
      <c r="D43" s="433">
        <f t="shared" ref="D43:H43" si="25">+C43</f>
        <v>397567.9</v>
      </c>
      <c r="E43" s="433">
        <f t="shared" si="25"/>
        <v>397567.9</v>
      </c>
      <c r="F43" s="433">
        <f t="shared" si="25"/>
        <v>397567.9</v>
      </c>
      <c r="G43" s="433">
        <f t="shared" si="25"/>
        <v>397567.9</v>
      </c>
      <c r="H43" s="433">
        <f t="shared" si="25"/>
        <v>397567.9</v>
      </c>
    </row>
    <row r="44" spans="1:8">
      <c r="A44" s="436" t="s">
        <v>523</v>
      </c>
      <c r="B44" s="434">
        <f>+B43*0.04</f>
        <v>15902.716000000002</v>
      </c>
      <c r="C44" s="434">
        <f t="shared" ref="C44:H44" si="26">+C43*0.04</f>
        <v>15902.716000000002</v>
      </c>
      <c r="D44" s="434">
        <f t="shared" si="26"/>
        <v>15902.716000000002</v>
      </c>
      <c r="E44" s="434">
        <f t="shared" si="26"/>
        <v>15902.716000000002</v>
      </c>
      <c r="F44" s="434">
        <f t="shared" si="26"/>
        <v>15902.716000000002</v>
      </c>
      <c r="G44" s="434">
        <f t="shared" si="26"/>
        <v>15902.716000000002</v>
      </c>
      <c r="H44" s="434">
        <f t="shared" si="26"/>
        <v>15902.716000000002</v>
      </c>
    </row>
    <row r="47" spans="1:8" ht="13.5" thickBot="1">
      <c r="A47" s="394" t="s">
        <v>61</v>
      </c>
      <c r="B47" s="393" t="s">
        <v>201</v>
      </c>
    </row>
    <row r="48" spans="1:8" ht="13.5" thickTop="1">
      <c r="A48" s="389" t="s">
        <v>439</v>
      </c>
      <c r="B48" s="389" t="s">
        <v>473</v>
      </c>
    </row>
    <row r="49" spans="1:3">
      <c r="A49" s="389" t="s">
        <v>431</v>
      </c>
      <c r="B49" s="389" t="s">
        <v>511</v>
      </c>
    </row>
    <row r="50" spans="1:3">
      <c r="A50" s="389" t="s">
        <v>200</v>
      </c>
      <c r="B50" s="389" t="s">
        <v>512</v>
      </c>
    </row>
    <row r="51" spans="1:3">
      <c r="A51" s="390" t="s">
        <v>206</v>
      </c>
      <c r="B51" s="390" t="s">
        <v>207</v>
      </c>
    </row>
    <row r="52" spans="1:3">
      <c r="A52" s="390" t="s">
        <v>269</v>
      </c>
      <c r="B52" s="390" t="s">
        <v>342</v>
      </c>
    </row>
    <row r="53" spans="1:3">
      <c r="A53" s="390" t="s">
        <v>430</v>
      </c>
      <c r="B53" s="391" t="s">
        <v>475</v>
      </c>
    </row>
    <row r="54" spans="1:3">
      <c r="A54" s="390" t="s">
        <v>471</v>
      </c>
      <c r="B54" s="391" t="s">
        <v>475</v>
      </c>
    </row>
    <row r="55" spans="1:3">
      <c r="A55" s="390"/>
      <c r="B55" s="390"/>
    </row>
    <row r="56" spans="1:3">
      <c r="A56" s="390" t="s">
        <v>524</v>
      </c>
      <c r="B56" s="391" t="s">
        <v>474</v>
      </c>
    </row>
    <row r="57" spans="1:3">
      <c r="A57" s="390" t="s">
        <v>347</v>
      </c>
      <c r="B57" s="390"/>
    </row>
    <row r="58" spans="1:3">
      <c r="A58" s="390" t="s">
        <v>348</v>
      </c>
      <c r="B58" s="390"/>
    </row>
    <row r="59" spans="1:3">
      <c r="A59" s="390" t="s">
        <v>349</v>
      </c>
      <c r="B59" s="390"/>
    </row>
    <row r="60" spans="1:3" ht="13.5" thickBot="1">
      <c r="A60" s="392"/>
      <c r="B60" s="392"/>
    </row>
    <row r="61" spans="1:3" ht="13.5" thickTop="1"/>
    <row r="63" spans="1:3" ht="13.5" thickBot="1"/>
    <row r="64" spans="1:3" ht="13.5" thickBot="1">
      <c r="A64" s="437" t="s">
        <v>154</v>
      </c>
      <c r="B64" s="437">
        <v>2016</v>
      </c>
      <c r="C64" s="437"/>
    </row>
    <row r="65" spans="1:3" ht="13.5" thickTop="1">
      <c r="A65" s="438" t="s">
        <v>471</v>
      </c>
      <c r="B65" s="439">
        <v>15000</v>
      </c>
      <c r="C65" s="439" t="s">
        <v>535</v>
      </c>
    </row>
    <row r="66" spans="1:3">
      <c r="A66" s="438" t="s">
        <v>468</v>
      </c>
      <c r="B66" s="439">
        <v>6000</v>
      </c>
      <c r="C66" s="439" t="s">
        <v>535</v>
      </c>
    </row>
    <row r="67" spans="1:3">
      <c r="A67" s="438" t="s">
        <v>349</v>
      </c>
      <c r="B67" s="439">
        <v>4104</v>
      </c>
      <c r="C67" s="439" t="s">
        <v>532</v>
      </c>
    </row>
    <row r="68" spans="1:3">
      <c r="A68" s="438" t="s">
        <v>469</v>
      </c>
      <c r="B68" s="439">
        <v>2664</v>
      </c>
      <c r="C68" s="439" t="s">
        <v>533</v>
      </c>
    </row>
    <row r="69" spans="1:3">
      <c r="A69" s="438" t="s">
        <v>470</v>
      </c>
      <c r="B69" s="439">
        <v>4500</v>
      </c>
      <c r="C69" s="439" t="s">
        <v>534</v>
      </c>
    </row>
    <row r="70" spans="1:3" ht="13.5" thickBot="1">
      <c r="A70" s="438" t="s">
        <v>472</v>
      </c>
      <c r="B70" s="439">
        <v>9679</v>
      </c>
      <c r="C70" s="439" t="s">
        <v>536</v>
      </c>
    </row>
    <row r="71" spans="1:3" ht="13.5" thickBot="1">
      <c r="A71" s="440" t="s">
        <v>59</v>
      </c>
      <c r="B71" s="441">
        <f>SUM(B65:B70)</f>
        <v>41947</v>
      </c>
      <c r="C71" s="441"/>
    </row>
  </sheetData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2:Y40"/>
  <sheetViews>
    <sheetView topLeftCell="A13" workbookViewId="0">
      <selection activeCell="A16" sqref="A16:I19"/>
    </sheetView>
  </sheetViews>
  <sheetFormatPr baseColWidth="10" defaultColWidth="18.85546875" defaultRowHeight="12"/>
  <cols>
    <col min="1" max="1" width="15.140625" style="3" customWidth="1"/>
    <col min="2" max="2" width="8.85546875" style="3" customWidth="1"/>
    <col min="3" max="3" width="7" style="3" customWidth="1"/>
    <col min="4" max="4" width="6.5703125" style="3" customWidth="1"/>
    <col min="5" max="5" width="6.5703125" style="3" bestFit="1" customWidth="1"/>
    <col min="6" max="6" width="7" style="3" bestFit="1" customWidth="1"/>
    <col min="7" max="8" width="6.5703125" style="3" bestFit="1" customWidth="1"/>
    <col min="9" max="9" width="7" style="3" bestFit="1" customWidth="1"/>
    <col min="10" max="10" width="6.140625" style="3" bestFit="1" customWidth="1"/>
    <col min="11" max="11" width="6.5703125" style="3" bestFit="1" customWidth="1"/>
    <col min="12" max="12" width="7" style="3" bestFit="1" customWidth="1"/>
    <col min="13" max="13" width="6.5703125" style="3" bestFit="1" customWidth="1"/>
    <col min="14" max="14" width="6.140625" style="3" bestFit="1" customWidth="1"/>
    <col min="15" max="15" width="7" style="3" bestFit="1" customWidth="1"/>
    <col min="16" max="16" width="8.85546875" style="3" customWidth="1"/>
    <col min="17" max="17" width="6.140625" style="3" bestFit="1" customWidth="1"/>
    <col min="18" max="18" width="10" style="3" customWidth="1"/>
    <col min="19" max="19" width="8.85546875" style="3" customWidth="1"/>
    <col min="20" max="20" width="6.140625" style="3" bestFit="1" customWidth="1"/>
    <col min="21" max="21" width="10" style="3" customWidth="1"/>
    <col min="22" max="22" width="8.85546875" style="3" customWidth="1"/>
    <col min="23" max="23" width="6.140625" style="3" bestFit="1" customWidth="1"/>
    <col min="24" max="24" width="10" style="3" customWidth="1"/>
    <col min="25" max="25" width="8.85546875" style="3" customWidth="1"/>
    <col min="26" max="16384" width="18.85546875" style="3"/>
  </cols>
  <sheetData>
    <row r="2" spans="1:25" ht="17.25" customHeight="1" thickBot="1">
      <c r="A2" s="491" t="s">
        <v>94</v>
      </c>
      <c r="B2" s="34"/>
      <c r="C2" s="491" t="s">
        <v>95</v>
      </c>
      <c r="D2" s="35"/>
      <c r="E2" s="493">
        <v>2016</v>
      </c>
      <c r="F2" s="493"/>
      <c r="G2" s="493"/>
      <c r="H2" s="489">
        <v>2017</v>
      </c>
      <c r="I2" s="489"/>
      <c r="J2" s="489"/>
      <c r="K2" s="489">
        <v>2018</v>
      </c>
      <c r="L2" s="489"/>
      <c r="M2" s="489"/>
      <c r="N2" s="489">
        <v>2019</v>
      </c>
      <c r="O2" s="489"/>
      <c r="P2" s="489"/>
      <c r="Q2" s="489">
        <v>2020</v>
      </c>
      <c r="R2" s="489"/>
      <c r="S2" s="489"/>
      <c r="T2" s="489">
        <v>2021</v>
      </c>
      <c r="U2" s="489"/>
      <c r="V2" s="489"/>
      <c r="W2" s="489">
        <v>2022</v>
      </c>
      <c r="X2" s="489"/>
      <c r="Y2" s="489"/>
    </row>
    <row r="3" spans="1:25" ht="25.5" thickTop="1" thickBot="1">
      <c r="A3" s="492"/>
      <c r="B3" s="37"/>
      <c r="C3" s="492"/>
      <c r="D3" s="38" t="s">
        <v>96</v>
      </c>
      <c r="E3" s="38" t="s">
        <v>97</v>
      </c>
      <c r="F3" s="38" t="s">
        <v>98</v>
      </c>
      <c r="G3" s="38" t="s">
        <v>99</v>
      </c>
      <c r="H3" s="38" t="s">
        <v>97</v>
      </c>
      <c r="I3" s="38" t="s">
        <v>98</v>
      </c>
      <c r="J3" s="38" t="s">
        <v>99</v>
      </c>
      <c r="K3" s="38" t="s">
        <v>97</v>
      </c>
      <c r="L3" s="38" t="s">
        <v>98</v>
      </c>
      <c r="M3" s="38" t="s">
        <v>99</v>
      </c>
      <c r="N3" s="38" t="s">
        <v>97</v>
      </c>
      <c r="O3" s="38" t="s">
        <v>98</v>
      </c>
      <c r="P3" s="38" t="s">
        <v>99</v>
      </c>
      <c r="Q3" s="38" t="s">
        <v>97</v>
      </c>
      <c r="R3" s="38" t="s">
        <v>98</v>
      </c>
      <c r="S3" s="38" t="s">
        <v>99</v>
      </c>
      <c r="T3" s="38" t="s">
        <v>97</v>
      </c>
      <c r="U3" s="38" t="s">
        <v>98</v>
      </c>
      <c r="V3" s="38" t="s">
        <v>99</v>
      </c>
      <c r="W3" s="38" t="s">
        <v>97</v>
      </c>
      <c r="X3" s="38" t="s">
        <v>98</v>
      </c>
      <c r="Y3" s="38" t="s">
        <v>99</v>
      </c>
    </row>
    <row r="4" spans="1:25" ht="12.75" thickTop="1">
      <c r="A4" s="39" t="s">
        <v>100</v>
      </c>
      <c r="B4" s="3" t="s">
        <v>101</v>
      </c>
      <c r="C4" s="39" t="s">
        <v>102</v>
      </c>
      <c r="D4" s="40">
        <v>2000</v>
      </c>
      <c r="E4" s="39">
        <v>1</v>
      </c>
      <c r="F4" s="40">
        <f>+D4*E4*12</f>
        <v>24000</v>
      </c>
      <c r="G4" s="41">
        <f t="shared" ref="G4:G11" si="0">+F4/$F$12</f>
        <v>0.18018018018018017</v>
      </c>
      <c r="H4" s="39">
        <f>+E4</f>
        <v>1</v>
      </c>
      <c r="I4" s="40">
        <f>+D4*1.06*H4*12</f>
        <v>25440</v>
      </c>
      <c r="J4" s="41">
        <f t="shared" ref="J4:J11" si="1">+I4/$I$12</f>
        <v>0.18018018018018017</v>
      </c>
      <c r="K4" s="39">
        <f>+E4</f>
        <v>1</v>
      </c>
      <c r="L4" s="40">
        <f>+D4*1.06*1.06*K4*12</f>
        <v>26966.400000000001</v>
      </c>
      <c r="M4" s="41">
        <f t="shared" ref="M4:M11" si="2">+L4/$L$12</f>
        <v>0.18018018018018017</v>
      </c>
      <c r="N4" s="39">
        <f>+E4</f>
        <v>1</v>
      </c>
      <c r="O4" s="40">
        <f>+D4*1.06*1.06*1.06*N4*12</f>
        <v>28584.384000000005</v>
      </c>
      <c r="P4" s="41">
        <f t="shared" ref="P4:P11" si="3">+O4/$O$12</f>
        <v>0.16528925619834708</v>
      </c>
      <c r="Q4" s="39">
        <f>+H4</f>
        <v>1</v>
      </c>
      <c r="R4" s="40">
        <f>+D4*1.06*1.06*1.06*1.06*Q4*12</f>
        <v>30299.44704000001</v>
      </c>
      <c r="S4" s="41">
        <f t="shared" ref="S4:S11" si="4">+R4/$R$12</f>
        <v>0.16528925619834711</v>
      </c>
      <c r="T4" s="39">
        <f>+K4</f>
        <v>1</v>
      </c>
      <c r="U4" s="40">
        <f>+D4*1.06*1.06*1.06*1.06*T4*12</f>
        <v>30299.44704000001</v>
      </c>
      <c r="V4" s="41">
        <f t="shared" ref="V4:V11" si="5">+U4/$R$12</f>
        <v>0.16528925619834711</v>
      </c>
      <c r="W4" s="39">
        <f>+N4</f>
        <v>1</v>
      </c>
      <c r="X4" s="40">
        <f>+D4*1.06*1.06*1.06*1.06*W4*12</f>
        <v>30299.44704000001</v>
      </c>
      <c r="Y4" s="41">
        <f t="shared" ref="Y4:Y11" si="6">+X4/$R$12</f>
        <v>0.16528925619834711</v>
      </c>
    </row>
    <row r="5" spans="1:25">
      <c r="A5" s="39" t="s">
        <v>458</v>
      </c>
      <c r="B5" s="3" t="s">
        <v>103</v>
      </c>
      <c r="C5" s="39"/>
      <c r="D5" s="40">
        <v>1000</v>
      </c>
      <c r="E5" s="39">
        <v>2</v>
      </c>
      <c r="F5" s="40">
        <f t="shared" ref="F5:F11" si="7">+D5*E5*12</f>
        <v>24000</v>
      </c>
      <c r="G5" s="41">
        <f t="shared" si="0"/>
        <v>0.18018018018018017</v>
      </c>
      <c r="H5" s="39">
        <f t="shared" ref="H5:H11" si="8">+E5</f>
        <v>2</v>
      </c>
      <c r="I5" s="40">
        <f t="shared" ref="I5:I11" si="9">+D5*1.06*H5*12</f>
        <v>25440</v>
      </c>
      <c r="J5" s="41">
        <f t="shared" si="1"/>
        <v>0.18018018018018017</v>
      </c>
      <c r="K5" s="39">
        <f t="shared" ref="K5:K11" si="10">+E5</f>
        <v>2</v>
      </c>
      <c r="L5" s="40">
        <f t="shared" ref="L5:L11" si="11">+D5*1.06*1.06*K5*12</f>
        <v>26966.400000000001</v>
      </c>
      <c r="M5" s="41">
        <f t="shared" si="2"/>
        <v>0.18018018018018017</v>
      </c>
      <c r="N5" s="39">
        <f t="shared" ref="N5:N11" si="12">+E5</f>
        <v>2</v>
      </c>
      <c r="O5" s="40">
        <f t="shared" ref="O5:O11" si="13">+D5*1.06*1.06*1.06*N5*12</f>
        <v>28584.384000000005</v>
      </c>
      <c r="P5" s="41">
        <f t="shared" si="3"/>
        <v>0.16528925619834708</v>
      </c>
      <c r="Q5" s="39">
        <f t="shared" ref="Q5:Q11" si="14">+H5</f>
        <v>2</v>
      </c>
      <c r="R5" s="40">
        <f t="shared" ref="R5:R11" si="15">+D5*1.06*1.06*1.06*1.06*Q5*12</f>
        <v>30299.44704000001</v>
      </c>
      <c r="S5" s="41">
        <f t="shared" si="4"/>
        <v>0.16528925619834711</v>
      </c>
      <c r="T5" s="39">
        <f t="shared" ref="T5" si="16">+K5</f>
        <v>2</v>
      </c>
      <c r="U5" s="40">
        <f t="shared" ref="U5:U11" si="17">+D5*1.06*1.06*1.06*1.06*T5*12</f>
        <v>30299.44704000001</v>
      </c>
      <c r="V5" s="41">
        <f t="shared" si="5"/>
        <v>0.16528925619834711</v>
      </c>
      <c r="W5" s="39">
        <f t="shared" ref="W5" si="18">+N5</f>
        <v>2</v>
      </c>
      <c r="X5" s="40">
        <f t="shared" ref="X5:X11" si="19">+D5*1.06*1.06*1.06*1.06*W5*12</f>
        <v>30299.44704000001</v>
      </c>
      <c r="Y5" s="41">
        <f t="shared" si="6"/>
        <v>0.16528925619834711</v>
      </c>
    </row>
    <row r="6" spans="1:25">
      <c r="A6" s="39" t="s">
        <v>459</v>
      </c>
      <c r="B6" s="3" t="s">
        <v>101</v>
      </c>
      <c r="C6" s="39" t="s">
        <v>102</v>
      </c>
      <c r="D6" s="40">
        <v>1000</v>
      </c>
      <c r="E6" s="39">
        <v>1</v>
      </c>
      <c r="F6" s="40">
        <f>+D6*E6*12</f>
        <v>12000</v>
      </c>
      <c r="G6" s="41">
        <f t="shared" si="0"/>
        <v>9.0090090090090086E-2</v>
      </c>
      <c r="H6" s="39">
        <f>+E6</f>
        <v>1</v>
      </c>
      <c r="I6" s="40">
        <f t="shared" si="9"/>
        <v>12720</v>
      </c>
      <c r="J6" s="41">
        <f t="shared" si="1"/>
        <v>9.0090090090090086E-2</v>
      </c>
      <c r="K6" s="39">
        <f>+E6</f>
        <v>1</v>
      </c>
      <c r="L6" s="40">
        <f t="shared" si="11"/>
        <v>13483.2</v>
      </c>
      <c r="M6" s="41">
        <f t="shared" si="2"/>
        <v>9.0090090090090086E-2</v>
      </c>
      <c r="N6" s="39">
        <f>+E6</f>
        <v>1</v>
      </c>
      <c r="O6" s="40">
        <f t="shared" si="13"/>
        <v>14292.192000000003</v>
      </c>
      <c r="P6" s="41">
        <f t="shared" si="3"/>
        <v>8.2644628099173542E-2</v>
      </c>
      <c r="Q6" s="39">
        <f>+H6</f>
        <v>1</v>
      </c>
      <c r="R6" s="40">
        <f t="shared" si="15"/>
        <v>15149.723520000005</v>
      </c>
      <c r="S6" s="41">
        <f t="shared" si="4"/>
        <v>8.2644628099173556E-2</v>
      </c>
      <c r="T6" s="39">
        <f>+K6</f>
        <v>1</v>
      </c>
      <c r="U6" s="40">
        <f t="shared" si="17"/>
        <v>15149.723520000005</v>
      </c>
      <c r="V6" s="41">
        <f t="shared" si="5"/>
        <v>8.2644628099173556E-2</v>
      </c>
      <c r="W6" s="39">
        <f>+N6</f>
        <v>1</v>
      </c>
      <c r="X6" s="40">
        <f t="shared" si="19"/>
        <v>15149.723520000005</v>
      </c>
      <c r="Y6" s="41">
        <f t="shared" si="6"/>
        <v>8.2644628099173556E-2</v>
      </c>
    </row>
    <row r="7" spans="1:25">
      <c r="A7" s="39" t="s">
        <v>460</v>
      </c>
      <c r="B7" s="3" t="s">
        <v>101</v>
      </c>
      <c r="C7" s="39"/>
      <c r="D7" s="40">
        <v>700</v>
      </c>
      <c r="E7" s="39">
        <v>1</v>
      </c>
      <c r="F7" s="40">
        <f>+D7*E7*12</f>
        <v>8400</v>
      </c>
      <c r="G7" s="41">
        <f t="shared" si="0"/>
        <v>6.3063063063063057E-2</v>
      </c>
      <c r="H7" s="39">
        <f>+E7</f>
        <v>1</v>
      </c>
      <c r="I7" s="40">
        <f t="shared" ref="I7" si="20">+D7*1.06*H7*12</f>
        <v>8904</v>
      </c>
      <c r="J7" s="41">
        <f t="shared" si="1"/>
        <v>6.3063063063063057E-2</v>
      </c>
      <c r="K7" s="39">
        <f>+E7</f>
        <v>1</v>
      </c>
      <c r="L7" s="40">
        <f t="shared" ref="L7" si="21">+D7*1.06*1.06*K7*12</f>
        <v>9438.2400000000016</v>
      </c>
      <c r="M7" s="41">
        <f t="shared" si="2"/>
        <v>6.3063063063063071E-2</v>
      </c>
      <c r="N7" s="39">
        <f>+E7</f>
        <v>1</v>
      </c>
      <c r="O7" s="40">
        <f t="shared" ref="O7" si="22">+D7*1.06*1.06*1.06*N7*12</f>
        <v>10004.534400000002</v>
      </c>
      <c r="P7" s="41">
        <f t="shared" si="3"/>
        <v>5.7851239669421482E-2</v>
      </c>
      <c r="Q7" s="39">
        <f>+H7</f>
        <v>1</v>
      </c>
      <c r="R7" s="40">
        <f t="shared" ref="R7" si="23">+D7*1.06*1.06*1.06*1.06*Q7*12</f>
        <v>10604.806464000003</v>
      </c>
      <c r="S7" s="41">
        <f t="shared" si="4"/>
        <v>5.7851239669421482E-2</v>
      </c>
      <c r="T7" s="39">
        <f>+K7</f>
        <v>1</v>
      </c>
      <c r="U7" s="40">
        <f t="shared" si="17"/>
        <v>10604.806464000003</v>
      </c>
      <c r="V7" s="41">
        <f t="shared" si="5"/>
        <v>5.7851239669421482E-2</v>
      </c>
      <c r="W7" s="39">
        <f>+N7</f>
        <v>1</v>
      </c>
      <c r="X7" s="40">
        <f t="shared" si="19"/>
        <v>10604.806464000003</v>
      </c>
      <c r="Y7" s="41">
        <f t="shared" si="6"/>
        <v>5.7851239669421482E-2</v>
      </c>
    </row>
    <row r="8" spans="1:25">
      <c r="A8" s="39" t="s">
        <v>104</v>
      </c>
      <c r="B8" s="3" t="s">
        <v>101</v>
      </c>
      <c r="C8" s="39"/>
      <c r="D8" s="40">
        <v>500</v>
      </c>
      <c r="E8" s="39">
        <v>1</v>
      </c>
      <c r="F8" s="40">
        <f t="shared" si="7"/>
        <v>6000</v>
      </c>
      <c r="G8" s="41">
        <f t="shared" si="0"/>
        <v>4.5045045045045043E-2</v>
      </c>
      <c r="H8" s="39">
        <f t="shared" si="8"/>
        <v>1</v>
      </c>
      <c r="I8" s="40">
        <f t="shared" si="9"/>
        <v>6360</v>
      </c>
      <c r="J8" s="41">
        <f t="shared" si="1"/>
        <v>4.5045045045045043E-2</v>
      </c>
      <c r="K8" s="39">
        <f t="shared" si="10"/>
        <v>1</v>
      </c>
      <c r="L8" s="40">
        <f t="shared" si="11"/>
        <v>6741.6</v>
      </c>
      <c r="M8" s="41">
        <f t="shared" si="2"/>
        <v>4.5045045045045043E-2</v>
      </c>
      <c r="N8" s="39">
        <f t="shared" si="12"/>
        <v>1</v>
      </c>
      <c r="O8" s="40">
        <f t="shared" si="13"/>
        <v>7146.0960000000014</v>
      </c>
      <c r="P8" s="41">
        <f t="shared" si="3"/>
        <v>4.1322314049586771E-2</v>
      </c>
      <c r="Q8" s="39">
        <f t="shared" si="14"/>
        <v>1</v>
      </c>
      <c r="R8" s="40">
        <f t="shared" si="15"/>
        <v>7574.8617600000025</v>
      </c>
      <c r="S8" s="41">
        <f t="shared" si="4"/>
        <v>4.1322314049586778E-2</v>
      </c>
      <c r="T8" s="39">
        <f t="shared" ref="T8" si="24">+K8</f>
        <v>1</v>
      </c>
      <c r="U8" s="40">
        <f t="shared" si="17"/>
        <v>7574.8617600000025</v>
      </c>
      <c r="V8" s="41">
        <f t="shared" si="5"/>
        <v>4.1322314049586778E-2</v>
      </c>
      <c r="W8" s="39">
        <f t="shared" ref="W8" si="25">+N8</f>
        <v>1</v>
      </c>
      <c r="X8" s="40">
        <f t="shared" si="19"/>
        <v>7574.8617600000025</v>
      </c>
      <c r="Y8" s="41">
        <f t="shared" si="6"/>
        <v>4.1322314049586778E-2</v>
      </c>
    </row>
    <row r="9" spans="1:25">
      <c r="A9" s="39" t="s">
        <v>105</v>
      </c>
      <c r="B9" s="3" t="s">
        <v>103</v>
      </c>
      <c r="C9" s="39"/>
      <c r="D9" s="39">
        <v>500</v>
      </c>
      <c r="E9" s="39">
        <v>6</v>
      </c>
      <c r="F9" s="40">
        <f>+D9*E9*12</f>
        <v>36000</v>
      </c>
      <c r="G9" s="41">
        <f t="shared" si="0"/>
        <v>0.27027027027027029</v>
      </c>
      <c r="H9" s="39">
        <f>+E9</f>
        <v>6</v>
      </c>
      <c r="I9" s="40">
        <f t="shared" si="9"/>
        <v>38160</v>
      </c>
      <c r="J9" s="41">
        <f t="shared" si="1"/>
        <v>0.27027027027027029</v>
      </c>
      <c r="K9" s="39">
        <f t="shared" si="10"/>
        <v>6</v>
      </c>
      <c r="L9" s="40">
        <f t="shared" si="11"/>
        <v>40449.600000000006</v>
      </c>
      <c r="M9" s="41">
        <f t="shared" si="2"/>
        <v>0.27027027027027029</v>
      </c>
      <c r="N9" s="39">
        <v>8</v>
      </c>
      <c r="O9" s="40">
        <f t="shared" si="13"/>
        <v>57168.768000000011</v>
      </c>
      <c r="P9" s="41">
        <f t="shared" si="3"/>
        <v>0.33057851239669417</v>
      </c>
      <c r="Q9" s="39">
        <v>8</v>
      </c>
      <c r="R9" s="40">
        <f t="shared" si="15"/>
        <v>60598.89408000002</v>
      </c>
      <c r="S9" s="41">
        <f t="shared" si="4"/>
        <v>0.33057851239669422</v>
      </c>
      <c r="T9" s="39">
        <v>8</v>
      </c>
      <c r="U9" s="40">
        <f t="shared" si="17"/>
        <v>60598.89408000002</v>
      </c>
      <c r="V9" s="41">
        <f t="shared" si="5"/>
        <v>0.33057851239669422</v>
      </c>
      <c r="W9" s="39">
        <v>8</v>
      </c>
      <c r="X9" s="40">
        <f t="shared" si="19"/>
        <v>60598.89408000002</v>
      </c>
      <c r="Y9" s="41">
        <f t="shared" si="6"/>
        <v>0.33057851239669422</v>
      </c>
    </row>
    <row r="10" spans="1:25">
      <c r="A10" s="39" t="s">
        <v>461</v>
      </c>
      <c r="B10" s="3" t="s">
        <v>103</v>
      </c>
      <c r="C10" s="39"/>
      <c r="D10" s="39">
        <v>600</v>
      </c>
      <c r="E10" s="39">
        <v>1</v>
      </c>
      <c r="F10" s="40">
        <f t="shared" si="7"/>
        <v>7200</v>
      </c>
      <c r="G10" s="41">
        <f t="shared" si="0"/>
        <v>5.4054054054054057E-2</v>
      </c>
      <c r="H10" s="39">
        <f t="shared" si="8"/>
        <v>1</v>
      </c>
      <c r="I10" s="40">
        <f t="shared" si="9"/>
        <v>7632</v>
      </c>
      <c r="J10" s="41">
        <f t="shared" si="1"/>
        <v>5.4054054054054057E-2</v>
      </c>
      <c r="K10" s="39">
        <f t="shared" si="10"/>
        <v>1</v>
      </c>
      <c r="L10" s="40">
        <f t="shared" si="11"/>
        <v>8089.920000000001</v>
      </c>
      <c r="M10" s="41">
        <f t="shared" si="2"/>
        <v>5.4054054054054057E-2</v>
      </c>
      <c r="N10" s="39">
        <v>1</v>
      </c>
      <c r="O10" s="40">
        <f t="shared" si="13"/>
        <v>8575.3152000000009</v>
      </c>
      <c r="P10" s="41">
        <f t="shared" si="3"/>
        <v>4.958677685950412E-2</v>
      </c>
      <c r="Q10" s="39">
        <v>1</v>
      </c>
      <c r="R10" s="40">
        <f t="shared" si="15"/>
        <v>9089.8341120000005</v>
      </c>
      <c r="S10" s="41">
        <f t="shared" si="4"/>
        <v>4.958677685950412E-2</v>
      </c>
      <c r="T10" s="39">
        <v>1</v>
      </c>
      <c r="U10" s="40">
        <f t="shared" si="17"/>
        <v>9089.8341120000005</v>
      </c>
      <c r="V10" s="41">
        <f t="shared" si="5"/>
        <v>4.958677685950412E-2</v>
      </c>
      <c r="W10" s="39">
        <v>1</v>
      </c>
      <c r="X10" s="40">
        <f t="shared" si="19"/>
        <v>9089.8341120000005</v>
      </c>
      <c r="Y10" s="41">
        <f t="shared" si="6"/>
        <v>4.958677685950412E-2</v>
      </c>
    </row>
    <row r="11" spans="1:25">
      <c r="A11" s="39" t="s">
        <v>106</v>
      </c>
      <c r="B11" s="3" t="s">
        <v>103</v>
      </c>
      <c r="C11" s="39" t="s">
        <v>102</v>
      </c>
      <c r="D11" s="39">
        <v>650</v>
      </c>
      <c r="E11" s="39">
        <v>2</v>
      </c>
      <c r="F11" s="40">
        <f t="shared" si="7"/>
        <v>15600</v>
      </c>
      <c r="G11" s="41">
        <f t="shared" si="0"/>
        <v>0.11711711711711711</v>
      </c>
      <c r="H11" s="39">
        <f t="shared" si="8"/>
        <v>2</v>
      </c>
      <c r="I11" s="40">
        <f t="shared" si="9"/>
        <v>16536</v>
      </c>
      <c r="J11" s="41">
        <f t="shared" si="1"/>
        <v>0.11711711711711711</v>
      </c>
      <c r="K11" s="39">
        <f t="shared" si="10"/>
        <v>2</v>
      </c>
      <c r="L11" s="40">
        <f t="shared" si="11"/>
        <v>17528.16</v>
      </c>
      <c r="M11" s="41">
        <f t="shared" si="2"/>
        <v>0.1171171171171171</v>
      </c>
      <c r="N11" s="39">
        <f t="shared" si="12"/>
        <v>2</v>
      </c>
      <c r="O11" s="40">
        <f t="shared" si="13"/>
        <v>18579.849600000001</v>
      </c>
      <c r="P11" s="41">
        <f t="shared" si="3"/>
        <v>0.1074380165289256</v>
      </c>
      <c r="Q11" s="39">
        <f t="shared" si="14"/>
        <v>2</v>
      </c>
      <c r="R11" s="40">
        <f t="shared" si="15"/>
        <v>19694.640576000005</v>
      </c>
      <c r="S11" s="41">
        <f t="shared" si="4"/>
        <v>0.10743801652892561</v>
      </c>
      <c r="T11" s="39">
        <f t="shared" ref="T11" si="26">+K11</f>
        <v>2</v>
      </c>
      <c r="U11" s="40">
        <f t="shared" si="17"/>
        <v>19694.640576000005</v>
      </c>
      <c r="V11" s="41">
        <f t="shared" si="5"/>
        <v>0.10743801652892561</v>
      </c>
      <c r="W11" s="39">
        <f t="shared" ref="W11" si="27">+N11</f>
        <v>2</v>
      </c>
      <c r="X11" s="40">
        <f t="shared" si="19"/>
        <v>19694.640576000005</v>
      </c>
      <c r="Y11" s="41">
        <f t="shared" si="6"/>
        <v>0.10743801652892561</v>
      </c>
    </row>
    <row r="12" spans="1:25" s="43" customFormat="1" ht="12.75" thickBot="1">
      <c r="A12" s="36" t="s">
        <v>59</v>
      </c>
      <c r="B12" s="36"/>
      <c r="C12" s="36"/>
      <c r="D12" s="42">
        <f>SUM(D4:D11)</f>
        <v>6950</v>
      </c>
      <c r="E12" s="42">
        <f t="shared" ref="E12:Q12" si="28">SUM(E4:E11)</f>
        <v>15</v>
      </c>
      <c r="F12" s="42">
        <f t="shared" si="28"/>
        <v>133200</v>
      </c>
      <c r="G12" s="42"/>
      <c r="H12" s="42">
        <f t="shared" si="28"/>
        <v>15</v>
      </c>
      <c r="I12" s="42">
        <f t="shared" si="28"/>
        <v>141192</v>
      </c>
      <c r="J12" s="42"/>
      <c r="K12" s="42">
        <f t="shared" si="28"/>
        <v>15</v>
      </c>
      <c r="L12" s="42">
        <f t="shared" si="28"/>
        <v>149663.52000000002</v>
      </c>
      <c r="M12" s="42"/>
      <c r="N12" s="42">
        <f t="shared" si="28"/>
        <v>17</v>
      </c>
      <c r="O12" s="42">
        <f t="shared" si="28"/>
        <v>172935.52320000005</v>
      </c>
      <c r="P12" s="42"/>
      <c r="Q12" s="42">
        <f t="shared" si="28"/>
        <v>17</v>
      </c>
      <c r="R12" s="42">
        <f>SUM(R4:R11)</f>
        <v>183311.65459200006</v>
      </c>
      <c r="S12" s="42"/>
      <c r="T12" s="42">
        <f t="shared" ref="T12" si="29">SUM(T4:T11)</f>
        <v>17</v>
      </c>
      <c r="U12" s="42">
        <f>SUM(U4:U11)</f>
        <v>183311.65459200006</v>
      </c>
      <c r="V12" s="42"/>
      <c r="W12" s="42">
        <f t="shared" ref="W12" si="30">SUM(W4:W11)</f>
        <v>17</v>
      </c>
      <c r="X12" s="42">
        <f>SUM(X4:X11)</f>
        <v>183311.65459200006</v>
      </c>
      <c r="Y12" s="42"/>
    </row>
    <row r="13" spans="1:25" ht="12.75" thickTop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 spans="1:25">
      <c r="A14" s="44"/>
      <c r="B14" s="44"/>
      <c r="C14" s="44" t="s">
        <v>329</v>
      </c>
      <c r="D14" s="44"/>
      <c r="E14" s="44"/>
      <c r="F14" s="45"/>
      <c r="G14" s="45"/>
      <c r="H14" s="44"/>
      <c r="I14" s="184">
        <f>+(I12-F12)/F12</f>
        <v>0.06</v>
      </c>
      <c r="J14" s="185"/>
      <c r="K14" s="186"/>
      <c r="L14" s="184">
        <f>+(L12-I12)/I12</f>
        <v>6.000000000000013E-2</v>
      </c>
      <c r="M14" s="185"/>
      <c r="N14" s="186"/>
      <c r="O14" s="184">
        <f>+(O12-L12)/L12</f>
        <v>0.15549549549549571</v>
      </c>
      <c r="P14" s="185"/>
      <c r="Q14" s="186"/>
      <c r="R14" s="184">
        <f>+(R12-O12)/O12</f>
        <v>6.0000000000000039E-2</v>
      </c>
      <c r="S14" s="45"/>
      <c r="T14" s="186"/>
      <c r="U14" s="184">
        <f>+(U12-R12)/R12</f>
        <v>0</v>
      </c>
      <c r="V14" s="45"/>
      <c r="W14" s="186"/>
      <c r="X14" s="184">
        <f>+(X12-U12)/U12</f>
        <v>0</v>
      </c>
      <c r="Y14" s="45"/>
    </row>
    <row r="16" spans="1:25" s="6" customFormat="1" ht="12.75" thickBot="1">
      <c r="A16" s="306" t="s">
        <v>68</v>
      </c>
      <c r="B16" s="306"/>
      <c r="C16" s="306">
        <v>2016</v>
      </c>
      <c r="D16" s="306">
        <v>2017</v>
      </c>
      <c r="E16" s="306">
        <v>2018</v>
      </c>
      <c r="F16" s="306">
        <v>2019</v>
      </c>
      <c r="G16" s="306">
        <v>2020</v>
      </c>
      <c r="H16" s="306">
        <v>2021</v>
      </c>
      <c r="I16" s="306">
        <v>2022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 spans="1:25" ht="12.75" thickTop="1">
      <c r="A17" s="384" t="s">
        <v>462</v>
      </c>
      <c r="B17" s="384"/>
      <c r="C17" s="385">
        <f>+F12</f>
        <v>133200</v>
      </c>
      <c r="D17" s="385">
        <f>+I12</f>
        <v>141192</v>
      </c>
      <c r="E17" s="385">
        <f>+L12</f>
        <v>149663.52000000002</v>
      </c>
      <c r="F17" s="385">
        <f>+O12</f>
        <v>172935.52320000005</v>
      </c>
      <c r="G17" s="385">
        <f>+R12</f>
        <v>183311.65459200006</v>
      </c>
      <c r="H17" s="385">
        <f>+U12</f>
        <v>183311.65459200006</v>
      </c>
      <c r="I17" s="385">
        <f>+X12</f>
        <v>183311.65459200006</v>
      </c>
    </row>
    <row r="18" spans="1:25">
      <c r="A18" s="384" t="s">
        <v>107</v>
      </c>
      <c r="B18" s="384"/>
      <c r="C18" s="386">
        <f>+C17*(16.57%+2.4%)</f>
        <v>25268.04</v>
      </c>
      <c r="D18" s="386">
        <f t="shared" ref="D18:G18" si="31">+D17*(16.57%+2.4%)</f>
        <v>26784.1224</v>
      </c>
      <c r="E18" s="386">
        <f t="shared" si="31"/>
        <v>28391.169744000006</v>
      </c>
      <c r="F18" s="386">
        <f t="shared" si="31"/>
        <v>32805.868751040012</v>
      </c>
      <c r="G18" s="386">
        <f t="shared" si="31"/>
        <v>34774.220876102416</v>
      </c>
      <c r="H18" s="386">
        <f t="shared" ref="H18:I18" si="32">+H17*(16.57%+2.4%)</f>
        <v>34774.220876102416</v>
      </c>
      <c r="I18" s="386">
        <f t="shared" si="32"/>
        <v>34774.220876102416</v>
      </c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 spans="1:25">
      <c r="A19" s="387" t="s">
        <v>108</v>
      </c>
      <c r="B19" s="387"/>
      <c r="C19" s="388">
        <f t="shared" ref="C19:I19" si="33">SUM(C17:C18)</f>
        <v>158468.04</v>
      </c>
      <c r="D19" s="388">
        <f t="shared" si="33"/>
        <v>167976.12239999999</v>
      </c>
      <c r="E19" s="388">
        <f t="shared" si="33"/>
        <v>178054.68974400003</v>
      </c>
      <c r="F19" s="388">
        <f t="shared" si="33"/>
        <v>205741.39195104007</v>
      </c>
      <c r="G19" s="388">
        <f t="shared" si="33"/>
        <v>218085.87546810249</v>
      </c>
      <c r="H19" s="388">
        <f t="shared" si="33"/>
        <v>218085.87546810249</v>
      </c>
      <c r="I19" s="388">
        <f t="shared" si="33"/>
        <v>218085.87546810249</v>
      </c>
    </row>
    <row r="21" spans="1:25">
      <c r="A21" s="3" t="s">
        <v>103</v>
      </c>
      <c r="C21" s="49">
        <f>+SUMIF(B:B,A21,G:G)</f>
        <v>0.6216216216216216</v>
      </c>
      <c r="D21" s="49">
        <f>+SUMIF(B:B,A21,J:J)</f>
        <v>0.6216216216216216</v>
      </c>
      <c r="E21" s="49">
        <f>+SUMIF(B:B,A21,M:M)</f>
        <v>0.6216216216216216</v>
      </c>
      <c r="F21" s="49">
        <f>+SUMIF(B:B,A21,P:P)</f>
        <v>0.6528925619834709</v>
      </c>
      <c r="G21" s="49">
        <f>+SUMIF(B:B,A21,S:S)</f>
        <v>0.65289256198347101</v>
      </c>
      <c r="H21" s="49">
        <f>+SUMIF(B:B,A21,V:V)</f>
        <v>0.65289256198347101</v>
      </c>
      <c r="I21" s="49">
        <f>+SUMIF(B:B,A21,Y:Y)</f>
        <v>0.65289256198347101</v>
      </c>
    </row>
    <row r="22" spans="1:25">
      <c r="A22" s="3" t="s">
        <v>101</v>
      </c>
      <c r="C22" s="49">
        <f>+SUMIF(B:B,A22,G:G)</f>
        <v>0.3783783783783784</v>
      </c>
      <c r="D22" s="49">
        <f>+SUMIF(B:B,A22,J:J)</f>
        <v>0.3783783783783784</v>
      </c>
      <c r="E22" s="49">
        <f>+SUMIF(B:B,A22,M:M)</f>
        <v>0.3783783783783784</v>
      </c>
      <c r="F22" s="49">
        <f>+SUMIF(B:B,A22,P:P)</f>
        <v>0.34710743801652882</v>
      </c>
      <c r="G22" s="49">
        <f>+SUMIF(B:B,A22,S:S)</f>
        <v>0.34710743801652888</v>
      </c>
      <c r="H22" s="49">
        <f>+SUMIF(B:B,A22,V:V)</f>
        <v>0.34710743801652888</v>
      </c>
      <c r="I22" s="49">
        <f>+SUMIF(B:B,A22,Y:Y)</f>
        <v>0.34710743801652888</v>
      </c>
    </row>
    <row r="24" spans="1:25">
      <c r="A24" s="39"/>
      <c r="B24" s="39"/>
    </row>
    <row r="25" spans="1:25">
      <c r="A25" s="39" t="s">
        <v>109</v>
      </c>
      <c r="B25" s="39"/>
      <c r="C25" s="183">
        <f>+'Consommations Q'!C11</f>
        <v>133285.16129032258</v>
      </c>
      <c r="D25" s="183">
        <f>+'Consommations Q'!H11</f>
        <v>149112.77419354836</v>
      </c>
      <c r="E25" s="183">
        <f>+'Consommations Q'!M11</f>
        <v>171479.69032258063</v>
      </c>
      <c r="F25" s="183">
        <f>+'Consommations Q'!R11</f>
        <v>197201.64387096767</v>
      </c>
      <c r="G25" s="183">
        <f>+'Consommations Q'!W11</f>
        <v>226781.89045161282</v>
      </c>
    </row>
    <row r="26" spans="1:25">
      <c r="C26" s="15"/>
      <c r="D26" s="15"/>
      <c r="E26" s="15"/>
      <c r="F26" s="15"/>
      <c r="G26" s="15"/>
    </row>
    <row r="27" spans="1:25">
      <c r="A27" s="3" t="s">
        <v>110</v>
      </c>
      <c r="C27" s="166">
        <f>+(C19*C21)/C25</f>
        <v>0.73907071909851307</v>
      </c>
      <c r="D27" s="166">
        <f t="shared" ref="D27:G27" si="34">+(D19*D21)/D25</f>
        <v>0.70025918412909394</v>
      </c>
      <c r="E27" s="166">
        <f t="shared" si="34"/>
        <v>0.64545629145812145</v>
      </c>
      <c r="F27" s="166">
        <f t="shared" si="34"/>
        <v>0.68116584557911919</v>
      </c>
      <c r="G27" s="166">
        <f t="shared" si="34"/>
        <v>0.62785721418597074</v>
      </c>
    </row>
    <row r="29" spans="1:25" ht="15.75" customHeight="1">
      <c r="A29" s="301"/>
      <c r="B29" s="490">
        <v>2016</v>
      </c>
      <c r="C29" s="490"/>
      <c r="D29" s="490">
        <v>2017</v>
      </c>
      <c r="E29" s="490"/>
      <c r="F29" s="490">
        <v>2018</v>
      </c>
      <c r="G29" s="490"/>
      <c r="H29" s="490">
        <v>2019</v>
      </c>
      <c r="I29" s="490"/>
      <c r="J29" s="490">
        <v>2020</v>
      </c>
      <c r="K29" s="490"/>
      <c r="L29" s="490">
        <v>2021</v>
      </c>
      <c r="M29" s="490"/>
      <c r="N29" s="490">
        <v>2022</v>
      </c>
      <c r="O29" s="490"/>
    </row>
    <row r="30" spans="1:25" ht="24.75" thickBot="1">
      <c r="A30" s="379" t="s">
        <v>463</v>
      </c>
      <c r="B30" s="380" t="s">
        <v>97</v>
      </c>
      <c r="C30" s="380" t="s">
        <v>464</v>
      </c>
      <c r="D30" s="380" t="s">
        <v>97</v>
      </c>
      <c r="E30" s="380" t="s">
        <v>464</v>
      </c>
      <c r="F30" s="380" t="s">
        <v>97</v>
      </c>
      <c r="G30" s="380" t="s">
        <v>464</v>
      </c>
      <c r="H30" s="380" t="s">
        <v>97</v>
      </c>
      <c r="I30" s="380" t="s">
        <v>464</v>
      </c>
      <c r="J30" s="380" t="s">
        <v>97</v>
      </c>
      <c r="K30" s="380" t="s">
        <v>464</v>
      </c>
      <c r="L30" s="380" t="s">
        <v>97</v>
      </c>
      <c r="M30" s="380" t="s">
        <v>464</v>
      </c>
      <c r="N30" s="380" t="s">
        <v>97</v>
      </c>
      <c r="O30" s="380" t="s">
        <v>464</v>
      </c>
    </row>
    <row r="31" spans="1:25" ht="12.75" thickTop="1">
      <c r="A31" s="381" t="s">
        <v>100</v>
      </c>
      <c r="B31" s="363">
        <f>+E4</f>
        <v>1</v>
      </c>
      <c r="C31" s="362">
        <f>+F4</f>
        <v>24000</v>
      </c>
      <c r="D31" s="362">
        <f>+H4</f>
        <v>1</v>
      </c>
      <c r="E31" s="362">
        <f>+I4</f>
        <v>25440</v>
      </c>
      <c r="F31" s="362">
        <f>+K4</f>
        <v>1</v>
      </c>
      <c r="G31" s="362">
        <f>+L4</f>
        <v>26966.400000000001</v>
      </c>
      <c r="H31" s="362">
        <f>+N4</f>
        <v>1</v>
      </c>
      <c r="I31" s="362">
        <f>+O4</f>
        <v>28584.384000000005</v>
      </c>
      <c r="J31" s="362">
        <f>+Q4</f>
        <v>1</v>
      </c>
      <c r="K31" s="362">
        <f>+R4</f>
        <v>30299.44704000001</v>
      </c>
      <c r="L31" s="362">
        <f>+T4</f>
        <v>1</v>
      </c>
      <c r="M31" s="362">
        <f>+U4</f>
        <v>30299.44704000001</v>
      </c>
      <c r="N31" s="362">
        <f>+W4</f>
        <v>1</v>
      </c>
      <c r="O31" s="362">
        <f>+X4</f>
        <v>30299.44704000001</v>
      </c>
    </row>
    <row r="32" spans="1:25">
      <c r="A32" s="381" t="s">
        <v>458</v>
      </c>
      <c r="B32" s="363">
        <f t="shared" ref="B32:B38" si="35">+E5</f>
        <v>2</v>
      </c>
      <c r="C32" s="362">
        <f t="shared" ref="C32:C38" si="36">+F5</f>
        <v>24000</v>
      </c>
      <c r="D32" s="362">
        <f t="shared" ref="D32:E32" si="37">+H5</f>
        <v>2</v>
      </c>
      <c r="E32" s="362">
        <f t="shared" si="37"/>
        <v>25440</v>
      </c>
      <c r="F32" s="362">
        <f t="shared" ref="F32:G32" si="38">+K5</f>
        <v>2</v>
      </c>
      <c r="G32" s="362">
        <f t="shared" si="38"/>
        <v>26966.400000000001</v>
      </c>
      <c r="H32" s="362">
        <f t="shared" ref="H32:I32" si="39">+N5</f>
        <v>2</v>
      </c>
      <c r="I32" s="362">
        <f t="shared" si="39"/>
        <v>28584.384000000005</v>
      </c>
      <c r="J32" s="362">
        <f t="shared" ref="J32:K32" si="40">+Q5</f>
        <v>2</v>
      </c>
      <c r="K32" s="362">
        <f t="shared" si="40"/>
        <v>30299.44704000001</v>
      </c>
      <c r="L32" s="362">
        <f t="shared" ref="L32:L38" si="41">+T5</f>
        <v>2</v>
      </c>
      <c r="M32" s="362">
        <f t="shared" ref="M32:M38" si="42">+U5</f>
        <v>30299.44704000001</v>
      </c>
      <c r="N32" s="362">
        <f t="shared" ref="N32:N38" si="43">+W5</f>
        <v>2</v>
      </c>
      <c r="O32" s="362">
        <f t="shared" ref="O32:O38" si="44">+X5</f>
        <v>30299.44704000001</v>
      </c>
    </row>
    <row r="33" spans="1:15">
      <c r="A33" s="381" t="s">
        <v>459</v>
      </c>
      <c r="B33" s="363">
        <f t="shared" si="35"/>
        <v>1</v>
      </c>
      <c r="C33" s="362">
        <f t="shared" si="36"/>
        <v>12000</v>
      </c>
      <c r="D33" s="362">
        <f t="shared" ref="D33:E33" si="45">+H6</f>
        <v>1</v>
      </c>
      <c r="E33" s="362">
        <f t="shared" si="45"/>
        <v>12720</v>
      </c>
      <c r="F33" s="362">
        <f t="shared" ref="F33:G33" si="46">+K6</f>
        <v>1</v>
      </c>
      <c r="G33" s="362">
        <f t="shared" si="46"/>
        <v>13483.2</v>
      </c>
      <c r="H33" s="362">
        <f t="shared" ref="H33:I33" si="47">+N6</f>
        <v>1</v>
      </c>
      <c r="I33" s="362">
        <f t="shared" si="47"/>
        <v>14292.192000000003</v>
      </c>
      <c r="J33" s="362">
        <f t="shared" ref="J33:K33" si="48">+Q6</f>
        <v>1</v>
      </c>
      <c r="K33" s="362">
        <f t="shared" si="48"/>
        <v>15149.723520000005</v>
      </c>
      <c r="L33" s="362">
        <f t="shared" si="41"/>
        <v>1</v>
      </c>
      <c r="M33" s="362">
        <f t="shared" si="42"/>
        <v>15149.723520000005</v>
      </c>
      <c r="N33" s="362">
        <f t="shared" si="43"/>
        <v>1</v>
      </c>
      <c r="O33" s="362">
        <f t="shared" si="44"/>
        <v>15149.723520000005</v>
      </c>
    </row>
    <row r="34" spans="1:15">
      <c r="A34" s="381" t="s">
        <v>460</v>
      </c>
      <c r="B34" s="363">
        <f t="shared" si="35"/>
        <v>1</v>
      </c>
      <c r="C34" s="362">
        <f t="shared" si="36"/>
        <v>8400</v>
      </c>
      <c r="D34" s="362">
        <f t="shared" ref="D34:E34" si="49">+H7</f>
        <v>1</v>
      </c>
      <c r="E34" s="362">
        <f t="shared" si="49"/>
        <v>8904</v>
      </c>
      <c r="F34" s="362">
        <f t="shared" ref="F34:G34" si="50">+K7</f>
        <v>1</v>
      </c>
      <c r="G34" s="362">
        <f t="shared" si="50"/>
        <v>9438.2400000000016</v>
      </c>
      <c r="H34" s="362">
        <f t="shared" ref="H34:I34" si="51">+N7</f>
        <v>1</v>
      </c>
      <c r="I34" s="362">
        <f t="shared" si="51"/>
        <v>10004.534400000002</v>
      </c>
      <c r="J34" s="362">
        <f t="shared" ref="J34:K34" si="52">+Q7</f>
        <v>1</v>
      </c>
      <c r="K34" s="362">
        <f t="shared" si="52"/>
        <v>10604.806464000003</v>
      </c>
      <c r="L34" s="362">
        <f t="shared" si="41"/>
        <v>1</v>
      </c>
      <c r="M34" s="362">
        <f t="shared" si="42"/>
        <v>10604.806464000003</v>
      </c>
      <c r="N34" s="362">
        <f t="shared" si="43"/>
        <v>1</v>
      </c>
      <c r="O34" s="362">
        <f t="shared" si="44"/>
        <v>10604.806464000003</v>
      </c>
    </row>
    <row r="35" spans="1:15">
      <c r="A35" s="381" t="s">
        <v>104</v>
      </c>
      <c r="B35" s="363">
        <f t="shared" si="35"/>
        <v>1</v>
      </c>
      <c r="C35" s="362">
        <f t="shared" si="36"/>
        <v>6000</v>
      </c>
      <c r="D35" s="362">
        <f t="shared" ref="D35:E35" si="53">+H8</f>
        <v>1</v>
      </c>
      <c r="E35" s="362">
        <f t="shared" si="53"/>
        <v>6360</v>
      </c>
      <c r="F35" s="362">
        <f t="shared" ref="F35:G35" si="54">+K8</f>
        <v>1</v>
      </c>
      <c r="G35" s="362">
        <f t="shared" si="54"/>
        <v>6741.6</v>
      </c>
      <c r="H35" s="362">
        <f t="shared" ref="H35:I35" si="55">+N8</f>
        <v>1</v>
      </c>
      <c r="I35" s="362">
        <f t="shared" si="55"/>
        <v>7146.0960000000014</v>
      </c>
      <c r="J35" s="362">
        <f t="shared" ref="J35:K35" si="56">+Q8</f>
        <v>1</v>
      </c>
      <c r="K35" s="362">
        <f t="shared" si="56"/>
        <v>7574.8617600000025</v>
      </c>
      <c r="L35" s="362">
        <f t="shared" si="41"/>
        <v>1</v>
      </c>
      <c r="M35" s="362">
        <f t="shared" si="42"/>
        <v>7574.8617600000025</v>
      </c>
      <c r="N35" s="362">
        <f t="shared" si="43"/>
        <v>1</v>
      </c>
      <c r="O35" s="362">
        <f t="shared" si="44"/>
        <v>7574.8617600000025</v>
      </c>
    </row>
    <row r="36" spans="1:15">
      <c r="A36" s="381" t="s">
        <v>105</v>
      </c>
      <c r="B36" s="363">
        <f t="shared" si="35"/>
        <v>6</v>
      </c>
      <c r="C36" s="362">
        <f t="shared" si="36"/>
        <v>36000</v>
      </c>
      <c r="D36" s="362">
        <f t="shared" ref="D36:E36" si="57">+H9</f>
        <v>6</v>
      </c>
      <c r="E36" s="362">
        <f t="shared" si="57"/>
        <v>38160</v>
      </c>
      <c r="F36" s="362">
        <f t="shared" ref="F36:G36" si="58">+K9</f>
        <v>6</v>
      </c>
      <c r="G36" s="362">
        <f t="shared" si="58"/>
        <v>40449.600000000006</v>
      </c>
      <c r="H36" s="362">
        <f t="shared" ref="H36:I36" si="59">+N9</f>
        <v>8</v>
      </c>
      <c r="I36" s="362">
        <f t="shared" si="59"/>
        <v>57168.768000000011</v>
      </c>
      <c r="J36" s="362">
        <f t="shared" ref="J36:K36" si="60">+Q9</f>
        <v>8</v>
      </c>
      <c r="K36" s="362">
        <f t="shared" si="60"/>
        <v>60598.89408000002</v>
      </c>
      <c r="L36" s="362">
        <f t="shared" si="41"/>
        <v>8</v>
      </c>
      <c r="M36" s="362">
        <f t="shared" si="42"/>
        <v>60598.89408000002</v>
      </c>
      <c r="N36" s="362">
        <f t="shared" si="43"/>
        <v>8</v>
      </c>
      <c r="O36" s="362">
        <f t="shared" si="44"/>
        <v>60598.89408000002</v>
      </c>
    </row>
    <row r="37" spans="1:15">
      <c r="A37" s="381" t="s">
        <v>461</v>
      </c>
      <c r="B37" s="363">
        <f t="shared" si="35"/>
        <v>1</v>
      </c>
      <c r="C37" s="362">
        <f t="shared" si="36"/>
        <v>7200</v>
      </c>
      <c r="D37" s="362">
        <f t="shared" ref="D37:E37" si="61">+H10</f>
        <v>1</v>
      </c>
      <c r="E37" s="362">
        <f t="shared" si="61"/>
        <v>7632</v>
      </c>
      <c r="F37" s="362">
        <f t="shared" ref="F37:G37" si="62">+K10</f>
        <v>1</v>
      </c>
      <c r="G37" s="362">
        <f t="shared" si="62"/>
        <v>8089.920000000001</v>
      </c>
      <c r="H37" s="362">
        <f t="shared" ref="H37:I37" si="63">+N10</f>
        <v>1</v>
      </c>
      <c r="I37" s="362">
        <f t="shared" si="63"/>
        <v>8575.3152000000009</v>
      </c>
      <c r="J37" s="362">
        <f t="shared" ref="J37:K37" si="64">+Q10</f>
        <v>1</v>
      </c>
      <c r="K37" s="362">
        <f t="shared" si="64"/>
        <v>9089.8341120000005</v>
      </c>
      <c r="L37" s="362">
        <f t="shared" si="41"/>
        <v>1</v>
      </c>
      <c r="M37" s="362">
        <f t="shared" si="42"/>
        <v>9089.8341120000005</v>
      </c>
      <c r="N37" s="362">
        <f t="shared" si="43"/>
        <v>1</v>
      </c>
      <c r="O37" s="362">
        <f t="shared" si="44"/>
        <v>9089.8341120000005</v>
      </c>
    </row>
    <row r="38" spans="1:15">
      <c r="A38" s="381" t="s">
        <v>106</v>
      </c>
      <c r="B38" s="363">
        <f t="shared" si="35"/>
        <v>2</v>
      </c>
      <c r="C38" s="362">
        <f t="shared" si="36"/>
        <v>15600</v>
      </c>
      <c r="D38" s="362">
        <f t="shared" ref="D38:E38" si="65">+H11</f>
        <v>2</v>
      </c>
      <c r="E38" s="362">
        <f t="shared" si="65"/>
        <v>16536</v>
      </c>
      <c r="F38" s="362">
        <f t="shared" ref="F38:G38" si="66">+K11</f>
        <v>2</v>
      </c>
      <c r="G38" s="362">
        <f t="shared" si="66"/>
        <v>17528.16</v>
      </c>
      <c r="H38" s="362">
        <f t="shared" ref="H38:I38" si="67">+N11</f>
        <v>2</v>
      </c>
      <c r="I38" s="362">
        <f t="shared" si="67"/>
        <v>18579.849600000001</v>
      </c>
      <c r="J38" s="362">
        <f t="shared" ref="J38:K38" si="68">+Q11</f>
        <v>2</v>
      </c>
      <c r="K38" s="362">
        <f t="shared" si="68"/>
        <v>19694.640576000005</v>
      </c>
      <c r="L38" s="362">
        <f t="shared" si="41"/>
        <v>2</v>
      </c>
      <c r="M38" s="362">
        <f t="shared" si="42"/>
        <v>19694.640576000005</v>
      </c>
      <c r="N38" s="362">
        <f t="shared" si="43"/>
        <v>2</v>
      </c>
      <c r="O38" s="362">
        <f t="shared" si="44"/>
        <v>19694.640576000005</v>
      </c>
    </row>
    <row r="39" spans="1:15">
      <c r="A39" s="382" t="s">
        <v>59</v>
      </c>
      <c r="B39" s="383">
        <f>SUM(B31:B38)</f>
        <v>15</v>
      </c>
      <c r="C39" s="383">
        <f t="shared" ref="C39:K39" si="69">SUM(C31:C38)</f>
        <v>133200</v>
      </c>
      <c r="D39" s="383">
        <f t="shared" si="69"/>
        <v>15</v>
      </c>
      <c r="E39" s="383">
        <f t="shared" si="69"/>
        <v>141192</v>
      </c>
      <c r="F39" s="383">
        <f t="shared" si="69"/>
        <v>15</v>
      </c>
      <c r="G39" s="383">
        <f t="shared" si="69"/>
        <v>149663.52000000002</v>
      </c>
      <c r="H39" s="383">
        <f t="shared" si="69"/>
        <v>17</v>
      </c>
      <c r="I39" s="383">
        <f t="shared" si="69"/>
        <v>172935.52320000005</v>
      </c>
      <c r="J39" s="383">
        <f t="shared" si="69"/>
        <v>17</v>
      </c>
      <c r="K39" s="383">
        <f t="shared" si="69"/>
        <v>183311.65459200006</v>
      </c>
      <c r="L39" s="383">
        <f>SUM(L31:L38)</f>
        <v>17</v>
      </c>
      <c r="M39" s="383">
        <f t="shared" ref="M39:O39" si="70">SUM(M31:M38)</f>
        <v>183311.65459200006</v>
      </c>
      <c r="N39" s="383">
        <f t="shared" si="70"/>
        <v>17</v>
      </c>
      <c r="O39" s="383">
        <f t="shared" si="70"/>
        <v>183311.65459200006</v>
      </c>
    </row>
    <row r="40" spans="1:15" s="20" customFormat="1">
      <c r="C40" s="275">
        <f>+C39-F12</f>
        <v>0</v>
      </c>
      <c r="E40" s="275">
        <f>+E39-I12</f>
        <v>0</v>
      </c>
      <c r="G40" s="275">
        <f>+G39-L12</f>
        <v>0</v>
      </c>
      <c r="I40" s="275">
        <f>+I39-O12</f>
        <v>0</v>
      </c>
      <c r="K40" s="275">
        <f>+K39-R12</f>
        <v>0</v>
      </c>
      <c r="M40" s="275">
        <f>+M39-U12</f>
        <v>0</v>
      </c>
      <c r="O40" s="275">
        <f>+O39-X12</f>
        <v>0</v>
      </c>
    </row>
  </sheetData>
  <mergeCells count="16">
    <mergeCell ref="A2:A3"/>
    <mergeCell ref="C2:C3"/>
    <mergeCell ref="L29:M29"/>
    <mergeCell ref="N29:O29"/>
    <mergeCell ref="E2:G2"/>
    <mergeCell ref="H2:J2"/>
    <mergeCell ref="K2:M2"/>
    <mergeCell ref="N2:P2"/>
    <mergeCell ref="J29:K29"/>
    <mergeCell ref="Q2:S2"/>
    <mergeCell ref="T2:V2"/>
    <mergeCell ref="W2:Y2"/>
    <mergeCell ref="B29:C29"/>
    <mergeCell ref="D29:E29"/>
    <mergeCell ref="F29:G29"/>
    <mergeCell ref="H29:I29"/>
  </mergeCells>
  <pageMargins left="0.7" right="0.7" top="0.75" bottom="0.75" header="0.3" footer="0.3"/>
  <pageSetup paperSize="9" orientation="portrait" horizontalDpi="30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0B0F0"/>
  </sheetPr>
  <dimension ref="A1:S43"/>
  <sheetViews>
    <sheetView zoomScaleSheetLayoutView="80" workbookViewId="0">
      <pane xSplit="2" ySplit="6" topLeftCell="C13" activePane="bottomRight" state="frozen"/>
      <selection activeCell="E361" sqref="E361"/>
      <selection pane="topRight" activeCell="E361" sqref="E361"/>
      <selection pane="bottomLeft" activeCell="E361" sqref="E361"/>
      <selection pane="bottomRight" activeCell="O35" sqref="O35"/>
    </sheetView>
  </sheetViews>
  <sheetFormatPr baseColWidth="10" defaultColWidth="10.28515625" defaultRowHeight="11.25"/>
  <cols>
    <col min="1" max="1" width="2.42578125" style="60" customWidth="1"/>
    <col min="2" max="2" width="29.42578125" style="60" customWidth="1"/>
    <col min="3" max="3" width="8" style="60" bestFit="1" customWidth="1"/>
    <col min="4" max="4" width="4.85546875" style="60" bestFit="1" customWidth="1"/>
    <col min="5" max="5" width="8" style="67" bestFit="1" customWidth="1"/>
    <col min="6" max="6" width="4.85546875" style="68" bestFit="1" customWidth="1"/>
    <col min="7" max="7" width="8" style="67" bestFit="1" customWidth="1"/>
    <col min="8" max="8" width="4.85546875" style="68" bestFit="1" customWidth="1"/>
    <col min="9" max="9" width="8" style="67" bestFit="1" customWidth="1"/>
    <col min="10" max="10" width="4.85546875" style="68" bestFit="1" customWidth="1"/>
    <col min="11" max="11" width="8" style="67" bestFit="1" customWidth="1"/>
    <col min="12" max="12" width="4.85546875" style="68" bestFit="1" customWidth="1"/>
    <col min="13" max="13" width="8" style="67" bestFit="1" customWidth="1"/>
    <col min="14" max="14" width="4.85546875" style="68" bestFit="1" customWidth="1"/>
    <col min="15" max="15" width="8" style="67" bestFit="1" customWidth="1"/>
    <col min="16" max="16" width="4.85546875" style="68" bestFit="1" customWidth="1"/>
    <col min="17" max="16384" width="10.28515625" style="60"/>
  </cols>
  <sheetData>
    <row r="1" spans="1:16">
      <c r="A1" s="495" t="s">
        <v>137</v>
      </c>
      <c r="B1" s="495"/>
      <c r="C1" s="495"/>
      <c r="D1" s="495"/>
      <c r="E1" s="495"/>
      <c r="F1" s="495"/>
      <c r="G1" s="495"/>
      <c r="H1" s="495"/>
      <c r="I1" s="60"/>
      <c r="J1" s="60"/>
      <c r="K1" s="60"/>
      <c r="L1" s="60"/>
      <c r="M1" s="60"/>
      <c r="N1" s="60"/>
      <c r="O1" s="60"/>
      <c r="P1" s="60"/>
    </row>
    <row r="2" spans="1:16">
      <c r="A2" s="495" t="s">
        <v>138</v>
      </c>
      <c r="B2" s="495"/>
      <c r="C2" s="495"/>
      <c r="D2" s="495"/>
      <c r="E2" s="495"/>
      <c r="F2" s="495"/>
      <c r="G2" s="495"/>
      <c r="H2" s="495"/>
      <c r="I2" s="60"/>
      <c r="J2" s="60"/>
      <c r="K2" s="60"/>
      <c r="L2" s="60"/>
      <c r="M2" s="60"/>
      <c r="N2" s="60"/>
      <c r="O2" s="60"/>
      <c r="P2" s="60"/>
    </row>
    <row r="3" spans="1:16">
      <c r="A3" s="495" t="s">
        <v>139</v>
      </c>
      <c r="B3" s="495"/>
      <c r="C3" s="495"/>
      <c r="D3" s="495"/>
      <c r="E3" s="495"/>
      <c r="F3" s="495"/>
      <c r="G3" s="495"/>
      <c r="H3" s="495"/>
      <c r="I3" s="60"/>
      <c r="J3" s="60"/>
      <c r="K3" s="60"/>
      <c r="L3" s="60"/>
      <c r="M3" s="60"/>
      <c r="N3" s="60"/>
      <c r="O3" s="60"/>
      <c r="P3" s="60"/>
    </row>
    <row r="4" spans="1:16">
      <c r="A4" s="61"/>
      <c r="B4" s="61"/>
      <c r="C4" s="61"/>
      <c r="D4" s="61"/>
      <c r="E4" s="62"/>
      <c r="F4" s="63"/>
      <c r="G4" s="62"/>
      <c r="H4" s="63"/>
      <c r="I4" s="62"/>
      <c r="J4" s="63"/>
      <c r="K4" s="62"/>
      <c r="L4" s="63"/>
      <c r="M4" s="62"/>
      <c r="N4" s="63"/>
      <c r="O4" s="62"/>
      <c r="P4" s="63"/>
    </row>
    <row r="5" spans="1:16">
      <c r="A5" s="403"/>
      <c r="B5" s="403"/>
      <c r="C5" s="496" t="s">
        <v>140</v>
      </c>
      <c r="D5" s="496"/>
      <c r="E5" s="496"/>
      <c r="F5" s="496"/>
      <c r="G5" s="496"/>
      <c r="H5" s="496"/>
      <c r="I5" s="403"/>
      <c r="J5" s="403"/>
      <c r="K5" s="403"/>
      <c r="L5" s="403"/>
      <c r="M5" s="403"/>
      <c r="N5" s="403"/>
      <c r="O5" s="403"/>
      <c r="P5" s="403"/>
    </row>
    <row r="6" spans="1:16">
      <c r="A6" s="497" t="s">
        <v>141</v>
      </c>
      <c r="B6" s="497"/>
      <c r="C6" s="412">
        <v>2016</v>
      </c>
      <c r="D6" s="413" t="s">
        <v>143</v>
      </c>
      <c r="E6" s="412">
        <v>2017</v>
      </c>
      <c r="F6" s="413" t="s">
        <v>143</v>
      </c>
      <c r="G6" s="412">
        <v>2018</v>
      </c>
      <c r="H6" s="413" t="s">
        <v>143</v>
      </c>
      <c r="I6" s="412">
        <v>2019</v>
      </c>
      <c r="J6" s="413" t="s">
        <v>143</v>
      </c>
      <c r="K6" s="412">
        <v>2020</v>
      </c>
      <c r="L6" s="413" t="s">
        <v>143</v>
      </c>
      <c r="M6" s="412">
        <v>2021</v>
      </c>
      <c r="N6" s="413" t="s">
        <v>143</v>
      </c>
      <c r="O6" s="412">
        <v>2022</v>
      </c>
      <c r="P6" s="413" t="s">
        <v>143</v>
      </c>
    </row>
    <row r="7" spans="1:16">
      <c r="A7" s="398"/>
      <c r="B7" s="398"/>
      <c r="C7" s="399"/>
      <c r="D7" s="400"/>
      <c r="E7" s="399"/>
      <c r="F7" s="400"/>
      <c r="G7" s="399"/>
      <c r="H7" s="400"/>
      <c r="I7" s="399"/>
      <c r="J7" s="400"/>
      <c r="K7" s="399"/>
      <c r="L7" s="400"/>
      <c r="M7" s="399"/>
      <c r="N7" s="400"/>
      <c r="O7" s="399"/>
      <c r="P7" s="400"/>
    </row>
    <row r="8" spans="1:16">
      <c r="A8" s="494" t="s">
        <v>144</v>
      </c>
      <c r="B8" s="494"/>
      <c r="C8" s="401"/>
      <c r="D8" s="402"/>
      <c r="E8" s="401"/>
      <c r="F8" s="402"/>
      <c r="G8" s="401"/>
      <c r="H8" s="402"/>
      <c r="I8" s="401"/>
      <c r="J8" s="402"/>
      <c r="K8" s="401"/>
      <c r="L8" s="402"/>
      <c r="M8" s="401"/>
      <c r="N8" s="402"/>
      <c r="O8" s="401"/>
      <c r="P8" s="402"/>
    </row>
    <row r="9" spans="1:16">
      <c r="A9" s="403"/>
      <c r="B9" s="403"/>
      <c r="C9" s="404"/>
      <c r="D9" s="405"/>
      <c r="E9" s="404"/>
      <c r="F9" s="405"/>
      <c r="G9" s="404"/>
      <c r="H9" s="405"/>
      <c r="I9" s="404"/>
      <c r="J9" s="405"/>
      <c r="K9" s="404"/>
      <c r="L9" s="405"/>
      <c r="M9" s="404"/>
      <c r="N9" s="405"/>
      <c r="O9" s="404"/>
      <c r="P9" s="405"/>
    </row>
    <row r="10" spans="1:16">
      <c r="A10" s="403"/>
      <c r="B10" s="403" t="s">
        <v>145</v>
      </c>
      <c r="C10" s="406">
        <f>+'Chiffre d''affaire'!I10</f>
        <v>1742256</v>
      </c>
      <c r="D10" s="407"/>
      <c r="E10" s="406">
        <f>+'Chiffre d''affaire'!L10</f>
        <v>2003594.4</v>
      </c>
      <c r="F10" s="407"/>
      <c r="G10" s="406">
        <f>+'Chiffre d''affaire'!N10</f>
        <v>2304133.5599999996</v>
      </c>
      <c r="H10" s="407"/>
      <c r="I10" s="406">
        <f>+'Chiffre d''affaire'!P10</f>
        <v>2649753.5939999986</v>
      </c>
      <c r="J10" s="407"/>
      <c r="K10" s="406">
        <f>+'Chiffre d''affaire'!R10</f>
        <v>3047216.6330999993</v>
      </c>
      <c r="L10" s="407"/>
      <c r="M10" s="406">
        <f>+'Chiffre d''affaire'!T10</f>
        <v>3047216.6330999993</v>
      </c>
      <c r="N10" s="407"/>
      <c r="O10" s="406">
        <f>+'Chiffre d''affaire'!V10</f>
        <v>3047216.6330999993</v>
      </c>
      <c r="P10" s="407"/>
    </row>
    <row r="11" spans="1:16">
      <c r="A11" s="403"/>
      <c r="B11" s="403" t="s">
        <v>146</v>
      </c>
      <c r="C11" s="406"/>
      <c r="D11" s="407"/>
      <c r="E11" s="406"/>
      <c r="F11" s="407"/>
      <c r="G11" s="406"/>
      <c r="H11" s="407"/>
      <c r="I11" s="406">
        <v>0</v>
      </c>
      <c r="J11" s="407"/>
      <c r="K11" s="406">
        <v>0</v>
      </c>
      <c r="L11" s="407"/>
      <c r="M11" s="406">
        <v>0</v>
      </c>
      <c r="N11" s="407"/>
      <c r="O11" s="406">
        <v>0</v>
      </c>
      <c r="P11" s="407"/>
    </row>
    <row r="12" spans="1:16">
      <c r="A12" s="403"/>
      <c r="B12" s="403" t="s">
        <v>147</v>
      </c>
      <c r="C12" s="406"/>
      <c r="D12" s="407"/>
      <c r="E12" s="406"/>
      <c r="F12" s="407"/>
      <c r="G12" s="406"/>
      <c r="H12" s="407"/>
      <c r="I12" s="406">
        <v>0</v>
      </c>
      <c r="J12" s="407"/>
      <c r="K12" s="406">
        <v>0</v>
      </c>
      <c r="L12" s="407"/>
      <c r="M12" s="406">
        <v>0</v>
      </c>
      <c r="N12" s="407"/>
      <c r="O12" s="406">
        <v>0</v>
      </c>
      <c r="P12" s="407"/>
    </row>
    <row r="13" spans="1:16">
      <c r="A13" s="403"/>
      <c r="B13" s="403"/>
      <c r="C13" s="404"/>
      <c r="D13" s="405"/>
      <c r="E13" s="404"/>
      <c r="F13" s="405"/>
      <c r="G13" s="404"/>
      <c r="H13" s="405"/>
      <c r="I13" s="404"/>
      <c r="J13" s="405"/>
      <c r="K13" s="404"/>
      <c r="L13" s="405"/>
      <c r="M13" s="404"/>
      <c r="N13" s="405"/>
      <c r="O13" s="404"/>
      <c r="P13" s="405"/>
    </row>
    <row r="14" spans="1:16">
      <c r="A14" s="408"/>
      <c r="B14" s="409" t="s">
        <v>148</v>
      </c>
      <c r="C14" s="410">
        <f>SUM(C10:C13)</f>
        <v>1742256</v>
      </c>
      <c r="D14" s="411"/>
      <c r="E14" s="410">
        <f>SUM(E10:E13)</f>
        <v>2003594.4</v>
      </c>
      <c r="F14" s="411"/>
      <c r="G14" s="410">
        <f t="shared" ref="G14:K14" si="0">SUM(G10:G13)</f>
        <v>2304133.5599999996</v>
      </c>
      <c r="H14" s="411"/>
      <c r="I14" s="410">
        <f t="shared" si="0"/>
        <v>2649753.5939999986</v>
      </c>
      <c r="J14" s="411"/>
      <c r="K14" s="410">
        <f t="shared" si="0"/>
        <v>3047216.6330999993</v>
      </c>
      <c r="L14" s="411"/>
      <c r="M14" s="410">
        <f t="shared" ref="M14" si="1">SUM(M10:M13)</f>
        <v>3047216.6330999993</v>
      </c>
      <c r="N14" s="411"/>
      <c r="O14" s="410">
        <f t="shared" ref="O14" si="2">SUM(O10:O13)</f>
        <v>3047216.6330999993</v>
      </c>
      <c r="P14" s="411"/>
    </row>
    <row r="15" spans="1:16">
      <c r="A15" s="403"/>
      <c r="B15" s="403"/>
      <c r="C15" s="404"/>
      <c r="D15" s="405"/>
      <c r="E15" s="404"/>
      <c r="F15" s="405"/>
      <c r="G15" s="404"/>
      <c r="H15" s="405"/>
      <c r="I15" s="404"/>
      <c r="J15" s="405"/>
      <c r="K15" s="404"/>
      <c r="L15" s="405"/>
      <c r="M15" s="404"/>
      <c r="N15" s="405"/>
      <c r="O15" s="404"/>
      <c r="P15" s="405"/>
    </row>
    <row r="16" spans="1:16">
      <c r="A16" s="494" t="s">
        <v>149</v>
      </c>
      <c r="B16" s="494"/>
      <c r="C16" s="401"/>
      <c r="D16" s="402"/>
      <c r="E16" s="401"/>
      <c r="F16" s="402"/>
      <c r="G16" s="401"/>
      <c r="H16" s="402"/>
      <c r="I16" s="401"/>
      <c r="J16" s="402"/>
      <c r="K16" s="401"/>
      <c r="L16" s="402"/>
      <c r="M16" s="401"/>
      <c r="N16" s="402"/>
      <c r="O16" s="401"/>
      <c r="P16" s="402"/>
    </row>
    <row r="17" spans="1:19">
      <c r="A17" s="403"/>
      <c r="B17" s="403"/>
      <c r="C17" s="404"/>
      <c r="D17" s="405"/>
      <c r="E17" s="404"/>
      <c r="F17" s="405"/>
      <c r="G17" s="404"/>
      <c r="H17" s="405"/>
      <c r="I17" s="404"/>
      <c r="J17" s="405"/>
      <c r="K17" s="404"/>
      <c r="L17" s="405"/>
      <c r="M17" s="404"/>
      <c r="N17" s="405"/>
      <c r="O17" s="404"/>
      <c r="P17" s="405"/>
    </row>
    <row r="18" spans="1:19">
      <c r="A18" s="403"/>
      <c r="B18" s="403" t="s">
        <v>150</v>
      </c>
      <c r="C18" s="406">
        <f>-'Cout de production prévisionnel'!E12</f>
        <v>40538.500870161297</v>
      </c>
      <c r="D18" s="407">
        <f>C18/$C$14</f>
        <v>2.3267821072311588E-2</v>
      </c>
      <c r="E18" s="406">
        <f>-'Cout de production prévisionnel'!I12</f>
        <v>6080.7751305241909</v>
      </c>
      <c r="F18" s="407">
        <f>E18/$E$14</f>
        <v>3.0349331833449881E-3</v>
      </c>
      <c r="G18" s="406">
        <f>-'Cout de production prévisionnel'!M12</f>
        <v>6992.8914001028243</v>
      </c>
      <c r="H18" s="407">
        <f>G18/$G$14</f>
        <v>3.0349331833449903E-3</v>
      </c>
      <c r="I18" s="406">
        <f>-'Cout de production prévisionnel'!Q12</f>
        <v>8041.8251101182323</v>
      </c>
      <c r="J18" s="407">
        <f>I18/$I$14</f>
        <v>3.0349331833449855E-3</v>
      </c>
      <c r="K18" s="406">
        <f>-'Cout de production prévisionnel'!U12</f>
        <v>9248.0988766359733</v>
      </c>
      <c r="L18" s="407">
        <f>K18/$K$14</f>
        <v>3.0349331833449868E-3</v>
      </c>
      <c r="M18" s="406">
        <f>-'Cout de production prévisionnel'!Y12</f>
        <v>0</v>
      </c>
      <c r="N18" s="407">
        <f>M18/$M$14</f>
        <v>0</v>
      </c>
      <c r="O18" s="406">
        <f>-'Cout de production prévisionnel'!AC12</f>
        <v>0</v>
      </c>
      <c r="P18" s="407">
        <f>O18/$O$14</f>
        <v>0</v>
      </c>
    </row>
    <row r="19" spans="1:19">
      <c r="A19" s="403"/>
      <c r="B19" s="403" t="s">
        <v>151</v>
      </c>
      <c r="C19" s="406">
        <f>-'Ach prévisionnel'!B77</f>
        <v>-1171792.7665548385</v>
      </c>
      <c r="D19" s="407">
        <f>-C19/$C$14</f>
        <v>0.67257209420133346</v>
      </c>
      <c r="E19" s="406">
        <f>-'Ach prévisionnel'!C77</f>
        <v>-1312455.5325832258</v>
      </c>
      <c r="F19" s="407">
        <f>-E19/$E$14</f>
        <v>0.65505050951591093</v>
      </c>
      <c r="G19" s="406">
        <f>-'Ach prévisionnel'!D77</f>
        <v>-1509323.8624707093</v>
      </c>
      <c r="H19" s="407">
        <f t="shared" ref="H19:H22" si="3">-G19/$G$14</f>
        <v>0.65505050951591082</v>
      </c>
      <c r="I19" s="406">
        <f>-'Ach prévisionnel'!E77</f>
        <v>-1735722.4418413157</v>
      </c>
      <c r="J19" s="407">
        <f>-I19/$I$14</f>
        <v>0.65505050951591104</v>
      </c>
      <c r="K19" s="406">
        <f>-'Ach prévisionnel'!F77</f>
        <v>-1996080.8081175133</v>
      </c>
      <c r="L19" s="407">
        <f t="shared" ref="L19:L22" si="4">-K19/$K$14</f>
        <v>0.65505050951591104</v>
      </c>
      <c r="M19" s="406">
        <f>-'Ach prévisionnel'!G77</f>
        <v>-1988071.9984737595</v>
      </c>
      <c r="N19" s="407">
        <f>-M19/$M$14</f>
        <v>0.65242227181309753</v>
      </c>
      <c r="O19" s="406">
        <f>-'Ach prévisionnel'!H77</f>
        <v>-1988071.9984737595</v>
      </c>
      <c r="P19" s="407">
        <f>-O19/$O$14</f>
        <v>0.65242227181309753</v>
      </c>
      <c r="Q19" s="67"/>
      <c r="S19" s="67"/>
    </row>
    <row r="20" spans="1:19">
      <c r="A20" s="403"/>
      <c r="B20" s="403" t="s">
        <v>152</v>
      </c>
      <c r="C20" s="406">
        <f>-SALAIRE!C19</f>
        <v>-158468.04</v>
      </c>
      <c r="D20" s="407">
        <f>-C20/$C$14</f>
        <v>9.095565749235475E-2</v>
      </c>
      <c r="E20" s="406">
        <f>-SALAIRE!D19</f>
        <v>-167976.12239999999</v>
      </c>
      <c r="F20" s="407">
        <f>-E20/$E$14</f>
        <v>8.3837388645126978E-2</v>
      </c>
      <c r="G20" s="406">
        <f>-SALAIRE!E19</f>
        <v>-178054.68974400003</v>
      </c>
      <c r="H20" s="407">
        <f t="shared" si="3"/>
        <v>7.727620170768229E-2</v>
      </c>
      <c r="I20" s="406">
        <f>-SALAIRE!F19</f>
        <v>-205741.39195104007</v>
      </c>
      <c r="J20" s="407">
        <f>-I20/$I$14</f>
        <v>7.764548085411152E-2</v>
      </c>
      <c r="K20" s="406">
        <f>-SALAIRE!G19</f>
        <v>-218085.87546810249</v>
      </c>
      <c r="L20" s="407">
        <f t="shared" si="4"/>
        <v>7.1568878004659289E-2</v>
      </c>
      <c r="M20" s="406">
        <f>-SALAIRE!H19</f>
        <v>-218085.87546810249</v>
      </c>
      <c r="N20" s="407">
        <f>-M20/$M$14</f>
        <v>7.1568878004659289E-2</v>
      </c>
      <c r="O20" s="406">
        <f>-SALAIRE!I19</f>
        <v>-218085.87546810249</v>
      </c>
      <c r="P20" s="407">
        <f>-O20/$O$14</f>
        <v>7.1568878004659289E-2</v>
      </c>
      <c r="Q20" s="315"/>
      <c r="S20" s="315"/>
    </row>
    <row r="21" spans="1:19">
      <c r="A21" s="403"/>
      <c r="B21" s="403" t="s">
        <v>153</v>
      </c>
      <c r="C21" s="406">
        <f>-Investissements!F11</f>
        <v>-55789.440000000002</v>
      </c>
      <c r="D21" s="407">
        <f>-C21/$C$14</f>
        <v>3.2021379177342484E-2</v>
      </c>
      <c r="E21" s="406">
        <f>-Investissements!G11</f>
        <v>-55789.440000000002</v>
      </c>
      <c r="F21" s="407">
        <f>-E21/$E$14</f>
        <v>2.7844677545515204E-2</v>
      </c>
      <c r="G21" s="406">
        <f>-Investissements!H11</f>
        <v>-55791.490000000005</v>
      </c>
      <c r="H21" s="407">
        <f t="shared" si="3"/>
        <v>2.4213652788426038E-2</v>
      </c>
      <c r="I21" s="406">
        <f>-Investissements!I11</f>
        <v>-48956.79</v>
      </c>
      <c r="J21" s="407">
        <f>-I21/$I$14</f>
        <v>1.847597833657284E-2</v>
      </c>
      <c r="K21" s="406">
        <f>-Investissements!J11</f>
        <v>-48956.79</v>
      </c>
      <c r="L21" s="407">
        <f t="shared" si="4"/>
        <v>1.6066068118758988E-2</v>
      </c>
      <c r="M21" s="406">
        <f>-Investissements!K11</f>
        <v>-29556.79</v>
      </c>
      <c r="N21" s="407">
        <f>-M21/$M$14</f>
        <v>9.6996024762214684E-3</v>
      </c>
      <c r="O21" s="406">
        <f>-Investissements!L11</f>
        <v>-29556.79</v>
      </c>
      <c r="P21" s="407">
        <f>-O21/$O$14</f>
        <v>9.6996024762214684E-3</v>
      </c>
    </row>
    <row r="22" spans="1:19">
      <c r="A22" s="403"/>
      <c r="B22" s="403" t="s">
        <v>154</v>
      </c>
      <c r="C22" s="406">
        <f>-'Autres charges'!B34</f>
        <v>-230199.49680000002</v>
      </c>
      <c r="D22" s="407">
        <f>-C22/$C$14</f>
        <v>0.13212725156349012</v>
      </c>
      <c r="E22" s="406">
        <f>-'Autres charges'!C34</f>
        <v>-256964.25392000002</v>
      </c>
      <c r="F22" s="407">
        <f>-E22/$E$14</f>
        <v>0.12825163312494786</v>
      </c>
      <c r="G22" s="406">
        <f>-'Autres charges'!D34</f>
        <v>-287483.13900799991</v>
      </c>
      <c r="H22" s="407">
        <f t="shared" si="3"/>
        <v>0.12476843530198829</v>
      </c>
      <c r="I22" s="406">
        <f>-'Autres charges'!E34</f>
        <v>-322592.26596319984</v>
      </c>
      <c r="J22" s="407">
        <f>-I22/$I$14</f>
        <v>0.12174425074605635</v>
      </c>
      <c r="K22" s="406">
        <f>-'Autres charges'!F34</f>
        <v>-362369.26693591994</v>
      </c>
      <c r="L22" s="407">
        <f t="shared" si="4"/>
        <v>0.11891811793087841</v>
      </c>
      <c r="M22" s="406">
        <f>-'Autres charges'!G34</f>
        <v>-390409.28466693667</v>
      </c>
      <c r="N22" s="407">
        <f>-M22/$M$14</f>
        <v>0.12811996378142793</v>
      </c>
      <c r="O22" s="406">
        <f>-'Autres charges'!H34</f>
        <v>-368408.82459405053</v>
      </c>
      <c r="P22" s="407">
        <f>-O22/$O$14</f>
        <v>0.12090010949410586</v>
      </c>
    </row>
    <row r="23" spans="1:19">
      <c r="A23" s="403"/>
      <c r="B23" s="403"/>
      <c r="C23" s="404"/>
      <c r="D23" s="405"/>
      <c r="E23" s="404"/>
      <c r="F23" s="405"/>
      <c r="G23" s="404"/>
      <c r="H23" s="405"/>
      <c r="I23" s="404"/>
      <c r="J23" s="405"/>
      <c r="K23" s="404"/>
      <c r="L23" s="405"/>
      <c r="M23" s="404"/>
      <c r="N23" s="405"/>
      <c r="O23" s="404"/>
      <c r="P23" s="405"/>
    </row>
    <row r="24" spans="1:19">
      <c r="A24" s="408"/>
      <c r="B24" s="409" t="s">
        <v>155</v>
      </c>
      <c r="C24" s="410">
        <f>SUM(C18:C23)</f>
        <v>-1575711.2424846774</v>
      </c>
      <c r="D24" s="411">
        <f>-C24/$C$14</f>
        <v>0.90440856136220926</v>
      </c>
      <c r="E24" s="410">
        <f>SUM(E18:E23)</f>
        <v>-1787104.5737727014</v>
      </c>
      <c r="F24" s="411">
        <f>-E24/$E$14</f>
        <v>0.89194927564815585</v>
      </c>
      <c r="G24" s="410">
        <f>SUM(G18:G23)</f>
        <v>-2023660.2898226064</v>
      </c>
      <c r="H24" s="411">
        <f>-G24/$G$14</f>
        <v>0.87827386613066249</v>
      </c>
      <c r="I24" s="410">
        <f>SUM(I18:I23)</f>
        <v>-2304971.0646454375</v>
      </c>
      <c r="J24" s="411">
        <f>-I24/$I$14</f>
        <v>0.86988128626930683</v>
      </c>
      <c r="K24" s="410">
        <f>SUM(K18:K23)</f>
        <v>-2616244.6416448997</v>
      </c>
      <c r="L24" s="411">
        <f>-K24/$K$14</f>
        <v>0.85856864038686265</v>
      </c>
      <c r="M24" s="410">
        <f>SUM(M18:M23)</f>
        <v>-2626123.9486087989</v>
      </c>
      <c r="N24" s="411">
        <f>-M24/$M$14</f>
        <v>0.86181071607540627</v>
      </c>
      <c r="O24" s="410">
        <f>SUM(O18:O23)</f>
        <v>-2604123.4885359127</v>
      </c>
      <c r="P24" s="411">
        <f>-O24/$O$14</f>
        <v>0.85459086178808419</v>
      </c>
    </row>
    <row r="25" spans="1:19">
      <c r="A25" s="403"/>
      <c r="B25" s="403"/>
      <c r="C25" s="404"/>
      <c r="D25" s="405"/>
      <c r="E25" s="404"/>
      <c r="F25" s="405"/>
      <c r="G25" s="404"/>
      <c r="H25" s="405"/>
      <c r="I25" s="404"/>
      <c r="J25" s="405"/>
      <c r="K25" s="404"/>
      <c r="L25" s="405"/>
      <c r="M25" s="404"/>
      <c r="N25" s="405"/>
      <c r="O25" s="404"/>
      <c r="P25" s="405"/>
    </row>
    <row r="26" spans="1:19">
      <c r="A26" s="499" t="s">
        <v>156</v>
      </c>
      <c r="B26" s="499"/>
      <c r="C26" s="410">
        <f>C14+C24</f>
        <v>166544.75751532265</v>
      </c>
      <c r="D26" s="411">
        <f>C26/$C$14</f>
        <v>9.5591438637790682E-2</v>
      </c>
      <c r="E26" s="410">
        <f>E14+E24</f>
        <v>216489.82622729847</v>
      </c>
      <c r="F26" s="411">
        <f>E26/$E$14</f>
        <v>0.10805072435184411</v>
      </c>
      <c r="G26" s="410">
        <f t="shared" ref="G26:K26" si="5">G14+G24</f>
        <v>280473.27017739322</v>
      </c>
      <c r="H26" s="411">
        <f>G26/$G$14</f>
        <v>0.12172613386933753</v>
      </c>
      <c r="I26" s="410">
        <f t="shared" si="5"/>
        <v>344782.52935456112</v>
      </c>
      <c r="J26" s="411">
        <f>I26/$I$14</f>
        <v>0.13011871373069314</v>
      </c>
      <c r="K26" s="410">
        <f t="shared" si="5"/>
        <v>430971.99145509955</v>
      </c>
      <c r="L26" s="411">
        <f>K26/$K$14</f>
        <v>0.14143135961313733</v>
      </c>
      <c r="M26" s="410">
        <f t="shared" ref="M26" si="6">M14+M24</f>
        <v>421092.68449120037</v>
      </c>
      <c r="N26" s="411">
        <f>M26/$M$14</f>
        <v>0.13818928392459373</v>
      </c>
      <c r="O26" s="410">
        <f t="shared" ref="O26" si="7">O14+O24</f>
        <v>443093.14456408657</v>
      </c>
      <c r="P26" s="411">
        <f>O26/$O$14</f>
        <v>0.14540913821191581</v>
      </c>
      <c r="Q26" s="68"/>
      <c r="R26" s="68"/>
      <c r="S26" s="68"/>
    </row>
    <row r="27" spans="1:19">
      <c r="A27" s="403"/>
      <c r="B27" s="403"/>
      <c r="C27" s="404"/>
      <c r="D27" s="405"/>
      <c r="E27" s="404"/>
      <c r="F27" s="405"/>
      <c r="G27" s="404"/>
      <c r="H27" s="405"/>
      <c r="I27" s="404"/>
      <c r="J27" s="405"/>
      <c r="K27" s="404"/>
      <c r="L27" s="405"/>
      <c r="M27" s="404"/>
      <c r="N27" s="405"/>
      <c r="O27" s="404"/>
      <c r="P27" s="405"/>
    </row>
    <row r="28" spans="1:19">
      <c r="A28" s="403"/>
      <c r="B28" s="403" t="s">
        <v>157</v>
      </c>
      <c r="C28" s="406">
        <f>-Emprunt!L29</f>
        <v>-34860</v>
      </c>
      <c r="D28" s="407">
        <f>-(C28/$C$14)</f>
        <v>2.0008540650742486E-2</v>
      </c>
      <c r="E28" s="406">
        <f>-Emprunt!L30</f>
        <v>-32681.25</v>
      </c>
      <c r="F28" s="407">
        <f>E28/$E$14</f>
        <v>-1.6311310313105287E-2</v>
      </c>
      <c r="G28" s="406">
        <f>-Emprunt!L31</f>
        <v>-26871.25</v>
      </c>
      <c r="H28" s="407">
        <f>G28/$G$14</f>
        <v>-1.1662192880867551E-2</v>
      </c>
      <c r="I28" s="406">
        <f>-Emprunt!L32</f>
        <v>-21061.25</v>
      </c>
      <c r="J28" s="407">
        <f t="shared" ref="J28:J31" si="8">-I28/$I$14</f>
        <v>7.9483805768545031E-3</v>
      </c>
      <c r="K28" s="406">
        <f>-Emprunt!L33</f>
        <v>-15251.25</v>
      </c>
      <c r="L28" s="407">
        <f t="shared" ref="L28:L31" si="9">-K28/$K$14</f>
        <v>5.0049772747809444E-3</v>
      </c>
      <c r="M28" s="406">
        <f>-Emprunt!L34</f>
        <v>-9441.25</v>
      </c>
      <c r="N28" s="407">
        <f>-M28/$M$14</f>
        <v>3.0983192653405846E-3</v>
      </c>
      <c r="O28" s="406">
        <f>-Emprunt!L35</f>
        <v>-3631.25</v>
      </c>
      <c r="P28" s="407">
        <f>-O28/$O$14</f>
        <v>1.1916612559002249E-3</v>
      </c>
    </row>
    <row r="29" spans="1:19" hidden="1">
      <c r="A29" s="403"/>
      <c r="B29" s="403" t="s">
        <v>158</v>
      </c>
      <c r="C29" s="406">
        <v>0</v>
      </c>
      <c r="D29" s="407">
        <f>C29/$C$14</f>
        <v>0</v>
      </c>
      <c r="E29" s="406"/>
      <c r="F29" s="407">
        <f>E29/$E$14</f>
        <v>0</v>
      </c>
      <c r="G29" s="406"/>
      <c r="H29" s="407">
        <f>G29/$G$14</f>
        <v>0</v>
      </c>
      <c r="I29" s="406"/>
      <c r="J29" s="407">
        <f t="shared" si="8"/>
        <v>0</v>
      </c>
      <c r="K29" s="406">
        <v>0</v>
      </c>
      <c r="L29" s="407">
        <f t="shared" si="9"/>
        <v>0</v>
      </c>
      <c r="M29" s="406">
        <v>0</v>
      </c>
      <c r="N29" s="407">
        <f t="shared" ref="N29:N31" si="10">-M29/$K$14</f>
        <v>0</v>
      </c>
      <c r="O29" s="406">
        <v>0</v>
      </c>
      <c r="P29" s="407">
        <f t="shared" ref="P29:P31" si="11">-O29/$K$14</f>
        <v>0</v>
      </c>
    </row>
    <row r="30" spans="1:19" hidden="1">
      <c r="A30" s="403"/>
      <c r="B30" s="403" t="s">
        <v>159</v>
      </c>
      <c r="C30" s="406">
        <v>0</v>
      </c>
      <c r="D30" s="407">
        <f>C30/$C$14</f>
        <v>0</v>
      </c>
      <c r="E30" s="406"/>
      <c r="F30" s="407">
        <f>E30/$E$14</f>
        <v>0</v>
      </c>
      <c r="G30" s="406"/>
      <c r="H30" s="407">
        <f>G30/$G$14</f>
        <v>0</v>
      </c>
      <c r="I30" s="406"/>
      <c r="J30" s="407">
        <f t="shared" si="8"/>
        <v>0</v>
      </c>
      <c r="K30" s="406">
        <v>0</v>
      </c>
      <c r="L30" s="407">
        <f t="shared" si="9"/>
        <v>0</v>
      </c>
      <c r="M30" s="406">
        <v>0</v>
      </c>
      <c r="N30" s="407">
        <f t="shared" si="10"/>
        <v>0</v>
      </c>
      <c r="O30" s="406">
        <v>0</v>
      </c>
      <c r="P30" s="407">
        <f t="shared" si="11"/>
        <v>0</v>
      </c>
    </row>
    <row r="31" spans="1:19" hidden="1">
      <c r="A31" s="403"/>
      <c r="B31" s="403" t="s">
        <v>160</v>
      </c>
      <c r="C31" s="406">
        <v>0</v>
      </c>
      <c r="D31" s="407">
        <f>C31/$C$14</f>
        <v>0</v>
      </c>
      <c r="E31" s="406"/>
      <c r="F31" s="407">
        <f>E31/$E$14</f>
        <v>0</v>
      </c>
      <c r="G31" s="406"/>
      <c r="H31" s="407">
        <f>G31/$G$14</f>
        <v>0</v>
      </c>
      <c r="I31" s="406"/>
      <c r="J31" s="407">
        <f t="shared" si="8"/>
        <v>0</v>
      </c>
      <c r="K31" s="406">
        <v>0</v>
      </c>
      <c r="L31" s="407">
        <f t="shared" si="9"/>
        <v>0</v>
      </c>
      <c r="M31" s="406">
        <v>0</v>
      </c>
      <c r="N31" s="407">
        <f t="shared" si="10"/>
        <v>0</v>
      </c>
      <c r="O31" s="406">
        <v>0</v>
      </c>
      <c r="P31" s="407">
        <f t="shared" si="11"/>
        <v>0</v>
      </c>
    </row>
    <row r="32" spans="1:19">
      <c r="A32" s="403"/>
      <c r="B32" s="403"/>
      <c r="C32" s="404"/>
      <c r="D32" s="405"/>
      <c r="E32" s="404"/>
      <c r="F32" s="405"/>
      <c r="G32" s="404"/>
      <c r="H32" s="405"/>
      <c r="I32" s="404"/>
      <c r="J32" s="405"/>
      <c r="K32" s="404"/>
      <c r="L32" s="405"/>
      <c r="M32" s="404"/>
      <c r="N32" s="405"/>
      <c r="O32" s="404"/>
      <c r="P32" s="405"/>
    </row>
    <row r="33" spans="1:19">
      <c r="A33" s="499" t="s">
        <v>161</v>
      </c>
      <c r="B33" s="499"/>
      <c r="C33" s="410">
        <f>SUM(C26:C31)</f>
        <v>131684.75751532265</v>
      </c>
      <c r="D33" s="411">
        <f>C33/$C$14</f>
        <v>7.5582897987048203E-2</v>
      </c>
      <c r="E33" s="410">
        <f>SUM(E26:E31)</f>
        <v>183808.57622729847</v>
      </c>
      <c r="F33" s="411">
        <f>E33/$E$14</f>
        <v>9.1739414038738823E-2</v>
      </c>
      <c r="G33" s="410">
        <f t="shared" ref="G33:K33" si="12">SUM(G26:G31)</f>
        <v>253602.02017739322</v>
      </c>
      <c r="H33" s="411">
        <f>G33/$G$14</f>
        <v>0.11006394098846999</v>
      </c>
      <c r="I33" s="410">
        <f>SUM(I26:I31)</f>
        <v>323721.27935456112</v>
      </c>
      <c r="J33" s="411">
        <f>I33/$I$14</f>
        <v>0.12217033315383864</v>
      </c>
      <c r="K33" s="410">
        <f t="shared" si="12"/>
        <v>415720.74145509955</v>
      </c>
      <c r="L33" s="411">
        <f>K33/$K$14</f>
        <v>0.13642638233835638</v>
      </c>
      <c r="M33" s="410">
        <f t="shared" ref="M33" si="13">SUM(M26:M31)</f>
        <v>411651.43449120037</v>
      </c>
      <c r="N33" s="411">
        <f>M33/$M$14</f>
        <v>0.13509096465925316</v>
      </c>
      <c r="O33" s="410">
        <f t="shared" ref="O33" si="14">SUM(O26:O31)</f>
        <v>439461.89456408657</v>
      </c>
      <c r="P33" s="411">
        <f>O33/$O$14</f>
        <v>0.14421747695601558</v>
      </c>
      <c r="Q33" s="68"/>
      <c r="R33" s="68"/>
      <c r="S33" s="68"/>
    </row>
    <row r="34" spans="1:19">
      <c r="A34" s="403"/>
      <c r="B34" s="403"/>
      <c r="C34" s="404"/>
      <c r="D34" s="405"/>
      <c r="E34" s="404"/>
      <c r="F34" s="405"/>
      <c r="G34" s="404"/>
      <c r="H34" s="405"/>
      <c r="I34" s="404"/>
      <c r="J34" s="405"/>
      <c r="K34" s="404"/>
      <c r="L34" s="405"/>
      <c r="M34" s="404"/>
      <c r="N34" s="405"/>
      <c r="O34" s="404"/>
      <c r="P34" s="405"/>
    </row>
    <row r="35" spans="1:19">
      <c r="A35" s="403"/>
      <c r="B35" s="403" t="s">
        <v>162</v>
      </c>
      <c r="C35" s="406">
        <f>-IF(C33&lt;0,0,(C33*0.25))</f>
        <v>-32921.189378830662</v>
      </c>
      <c r="D35" s="407">
        <f>-C35/$C$14</f>
        <v>1.8895724496762051E-2</v>
      </c>
      <c r="E35" s="406">
        <f>-IF(E33&lt;0,0,(E33*0.25))</f>
        <v>-45952.144056824618</v>
      </c>
      <c r="F35" s="407">
        <f>-E35/$E$14</f>
        <v>2.2934853509684706E-2</v>
      </c>
      <c r="G35" s="406">
        <f>-IF(G33&lt;0,0,(G33*0.25))</f>
        <v>-63400.505044348305</v>
      </c>
      <c r="H35" s="407">
        <f>-G35/$G$14</f>
        <v>2.7515985247117496E-2</v>
      </c>
      <c r="I35" s="406">
        <f>-IF(I33&lt;0,0,(I33*0.25))</f>
        <v>-80930.31983864028</v>
      </c>
      <c r="J35" s="407">
        <f>-I35/$I$14</f>
        <v>3.0542583288459661E-2</v>
      </c>
      <c r="K35" s="406">
        <f>-IF(K33&lt;0,0,(K33*0.25))</f>
        <v>-103930.18536377489</v>
      </c>
      <c r="L35" s="407">
        <f>-K35/$K$14</f>
        <v>3.4106595584589096E-2</v>
      </c>
      <c r="M35" s="406">
        <f>-IF(M33&lt;0,0,(M33*0.25))</f>
        <v>-102912.85862280009</v>
      </c>
      <c r="N35" s="407">
        <f>-M35/$M$14</f>
        <v>3.377274116481329E-2</v>
      </c>
      <c r="O35" s="406">
        <f>-IF(O33&lt;0,0,(O33*0.25))</f>
        <v>-109865.47364102164</v>
      </c>
      <c r="P35" s="407">
        <f>-O35/$O$14</f>
        <v>3.6054369239003896E-2</v>
      </c>
    </row>
    <row r="36" spans="1:19">
      <c r="A36" s="403"/>
      <c r="B36" s="403"/>
      <c r="C36" s="404"/>
      <c r="D36" s="405"/>
      <c r="E36" s="404"/>
      <c r="F36" s="405"/>
      <c r="G36" s="404"/>
      <c r="H36" s="405"/>
      <c r="I36" s="404"/>
      <c r="J36" s="405"/>
      <c r="K36" s="404"/>
      <c r="L36" s="405"/>
      <c r="M36" s="404"/>
      <c r="N36" s="405"/>
      <c r="O36" s="404"/>
      <c r="P36" s="405"/>
    </row>
    <row r="37" spans="1:19">
      <c r="A37" s="499" t="s">
        <v>163</v>
      </c>
      <c r="B37" s="499"/>
      <c r="C37" s="410">
        <f>C33+C35</f>
        <v>98763.568136491987</v>
      </c>
      <c r="D37" s="411">
        <f>C37/$C$14</f>
        <v>5.6687173490286152E-2</v>
      </c>
      <c r="E37" s="410">
        <f>E33+E35</f>
        <v>137856.43217047385</v>
      </c>
      <c r="F37" s="411">
        <f>E37/$E$14</f>
        <v>6.8804560529054121E-2</v>
      </c>
      <c r="G37" s="410">
        <f t="shared" ref="G37" si="15">G33+G35</f>
        <v>190201.51513304492</v>
      </c>
      <c r="H37" s="411">
        <f>G37/$G$14</f>
        <v>8.2547955741352486E-2</v>
      </c>
      <c r="I37" s="410">
        <f>I33+I35</f>
        <v>242790.95951592084</v>
      </c>
      <c r="J37" s="411">
        <f>I37/I14</f>
        <v>9.1627749865378985E-2</v>
      </c>
      <c r="K37" s="410">
        <f>K33+K35</f>
        <v>311790.55609132466</v>
      </c>
      <c r="L37" s="411">
        <f>K37/$K$14</f>
        <v>0.10231978675376729</v>
      </c>
      <c r="M37" s="410">
        <f>M33+M35</f>
        <v>308738.57586840028</v>
      </c>
      <c r="N37" s="411">
        <f>M37/$M$14</f>
        <v>0.10131822349443986</v>
      </c>
      <c r="O37" s="410">
        <f>O33+O35</f>
        <v>329596.42092306493</v>
      </c>
      <c r="P37" s="411">
        <f>O37/$O$14</f>
        <v>0.10816310771701169</v>
      </c>
    </row>
    <row r="38" spans="1:19">
      <c r="B38" s="60" t="s">
        <v>341</v>
      </c>
      <c r="C38" s="67"/>
      <c r="D38" s="73">
        <f>C38/$C$14</f>
        <v>0</v>
      </c>
    </row>
    <row r="39" spans="1:19">
      <c r="A39" s="498" t="s">
        <v>164</v>
      </c>
      <c r="B39" s="498"/>
      <c r="C39" s="72">
        <f>+(C37-C21)+C38</f>
        <v>154553.00813649199</v>
      </c>
      <c r="D39" s="73"/>
      <c r="E39" s="72">
        <f>+(E37-E21)+E38</f>
        <v>193645.87217047386</v>
      </c>
      <c r="F39" s="73"/>
      <c r="G39" s="72">
        <f>+(G37-G21)+G38</f>
        <v>245993.00513304491</v>
      </c>
      <c r="H39" s="73"/>
      <c r="I39" s="72">
        <f>+(I37-I21)+I38</f>
        <v>291747.74951592082</v>
      </c>
      <c r="J39" s="73"/>
      <c r="K39" s="72">
        <f>+(K37-K21)+K38</f>
        <v>360747.34609132464</v>
      </c>
      <c r="L39" s="72"/>
      <c r="M39" s="72">
        <f>+(M37-M21)+M38</f>
        <v>338295.36586840026</v>
      </c>
      <c r="N39" s="72"/>
      <c r="O39" s="72">
        <f>+(O37-O21)+O38</f>
        <v>359153.21092306491</v>
      </c>
      <c r="P39" s="72"/>
    </row>
    <row r="40" spans="1:19">
      <c r="A40" s="498" t="s">
        <v>165</v>
      </c>
      <c r="B40" s="498"/>
      <c r="C40" s="72">
        <f>+C39</f>
        <v>154553.00813649199</v>
      </c>
      <c r="D40" s="73"/>
      <c r="E40" s="72">
        <f>+E39+C40</f>
        <v>348198.88030696585</v>
      </c>
      <c r="F40" s="73"/>
      <c r="G40" s="72">
        <f>+G39+E40</f>
        <v>594191.88544001081</v>
      </c>
      <c r="H40" s="73"/>
      <c r="I40" s="72">
        <f>+I39+G40</f>
        <v>885939.63495593169</v>
      </c>
      <c r="J40" s="73"/>
      <c r="K40" s="72">
        <f>+K39+I40</f>
        <v>1246686.9810472564</v>
      </c>
      <c r="L40" s="72"/>
      <c r="M40" s="72">
        <f>+M39+K40</f>
        <v>1584982.3469156567</v>
      </c>
      <c r="N40" s="72"/>
      <c r="O40" s="72">
        <f>+O39+M40</f>
        <v>1944135.5578387217</v>
      </c>
      <c r="P40" s="72"/>
    </row>
    <row r="41" spans="1:19">
      <c r="A41" s="498"/>
      <c r="B41" s="498"/>
      <c r="C41" s="72"/>
      <c r="D41" s="73"/>
      <c r="E41" s="72"/>
      <c r="F41" s="73"/>
      <c r="G41" s="72"/>
      <c r="H41" s="73"/>
      <c r="I41" s="72"/>
      <c r="J41" s="73"/>
      <c r="K41" s="72"/>
      <c r="L41" s="72"/>
      <c r="M41" s="72"/>
      <c r="N41" s="72"/>
      <c r="O41" s="72"/>
      <c r="P41" s="72"/>
    </row>
    <row r="42" spans="1:19" ht="15" customHeight="1">
      <c r="A42" s="114" t="s">
        <v>197</v>
      </c>
      <c r="B42" s="114"/>
      <c r="C42" s="70">
        <v>0</v>
      </c>
      <c r="E42" s="67">
        <f>-Emprunt!K30</f>
        <v>-70000</v>
      </c>
      <c r="G42" s="67">
        <f>-Emprunt!K31</f>
        <v>-70000</v>
      </c>
      <c r="I42" s="67">
        <f>-Emprunt!K32</f>
        <v>-70000</v>
      </c>
      <c r="K42" s="67">
        <f>-Emprunt!K33</f>
        <v>-70000</v>
      </c>
      <c r="M42" s="67">
        <f>-Emprunt!K34</f>
        <v>-70000</v>
      </c>
      <c r="O42" s="67">
        <f>-Emprunt!K35</f>
        <v>-70000</v>
      </c>
    </row>
    <row r="43" spans="1:19">
      <c r="A43" s="60" t="s">
        <v>199</v>
      </c>
      <c r="C43" s="67">
        <f>+C40+C42</f>
        <v>154553.00813649199</v>
      </c>
      <c r="D43" s="71">
        <f>C43/$C$14</f>
        <v>8.8708552667628629E-2</v>
      </c>
      <c r="E43" s="67">
        <f>+E39+E42</f>
        <v>123645.87217047386</v>
      </c>
      <c r="F43" s="71">
        <f>E43/$E$14</f>
        <v>6.1712027229899359E-2</v>
      </c>
      <c r="G43" s="67">
        <f>+G39+G42</f>
        <v>175993.00513304491</v>
      </c>
      <c r="H43" s="71">
        <f>G43/$G$14</f>
        <v>7.6381425186587248E-2</v>
      </c>
      <c r="I43" s="67">
        <f>+I39+I42</f>
        <v>221747.74951592082</v>
      </c>
      <c r="J43" s="71">
        <f>I43/$I$14</f>
        <v>8.3686177468742004E-2</v>
      </c>
      <c r="K43" s="67">
        <f>+K39+K42</f>
        <v>290747.34609132464</v>
      </c>
      <c r="L43" s="71">
        <f>K43/$K$14</f>
        <v>9.5414071626256869E-2</v>
      </c>
      <c r="M43" s="67">
        <f>+M39+M42</f>
        <v>268295.36586840026</v>
      </c>
      <c r="N43" s="71">
        <f>M43/$M$14</f>
        <v>8.8046042724391926E-2</v>
      </c>
      <c r="O43" s="67">
        <f>+O39+O42</f>
        <v>289153.21092306491</v>
      </c>
      <c r="P43" s="71">
        <f>O43/$O$14</f>
        <v>9.4890926946963758E-2</v>
      </c>
    </row>
  </sheetData>
  <mergeCells count="13">
    <mergeCell ref="A41:B41"/>
    <mergeCell ref="A16:B16"/>
    <mergeCell ref="A26:B26"/>
    <mergeCell ref="A33:B33"/>
    <mergeCell ref="A37:B37"/>
    <mergeCell ref="A39:B39"/>
    <mergeCell ref="A40:B40"/>
    <mergeCell ref="A8:B8"/>
    <mergeCell ref="A1:H1"/>
    <mergeCell ref="A2:H2"/>
    <mergeCell ref="A3:H3"/>
    <mergeCell ref="C5:H5"/>
    <mergeCell ref="A6:B6"/>
  </mergeCells>
  <pageMargins left="0.75" right="0.75" top="1" bottom="1" header="0.5" footer="0.5"/>
  <pageSetup paperSize="9" scale="70" orientation="landscape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0B0F0"/>
  </sheetPr>
  <dimension ref="A1:P52"/>
  <sheetViews>
    <sheetView zoomScaleSheetLayoutView="100" workbookViewId="0">
      <pane ySplit="5" topLeftCell="A27" activePane="bottomLeft" state="frozen"/>
      <selection activeCell="K25" sqref="K25"/>
      <selection pane="bottomLeft" activeCell="P31" sqref="P31:P35"/>
    </sheetView>
  </sheetViews>
  <sheetFormatPr baseColWidth="10" defaultColWidth="10.28515625" defaultRowHeight="11.25"/>
  <cols>
    <col min="1" max="1" width="3.140625" style="60" customWidth="1"/>
    <col min="2" max="2" width="41.28515625" style="60" bestFit="1" customWidth="1"/>
    <col min="3" max="3" width="8.85546875" style="60" customWidth="1"/>
    <col min="4" max="4" width="10.140625" style="67" customWidth="1"/>
    <col min="5" max="5" width="7.5703125" style="67" bestFit="1" customWidth="1"/>
    <col min="6" max="6" width="10.140625" style="67" hidden="1" customWidth="1"/>
    <col min="7" max="7" width="7.5703125" style="67" hidden="1" customWidth="1"/>
    <col min="8" max="8" width="10.140625" style="67" hidden="1" customWidth="1"/>
    <col min="9" max="9" width="7.5703125" style="67" hidden="1" customWidth="1"/>
    <col min="10" max="10" width="10.140625" style="67" hidden="1" customWidth="1"/>
    <col min="11" max="11" width="7.5703125" style="67" hidden="1" customWidth="1"/>
    <col min="12" max="12" width="10.140625" style="67" hidden="1" customWidth="1"/>
    <col min="13" max="13" width="7.5703125" style="67" hidden="1" customWidth="1"/>
    <col min="14" max="16384" width="10.28515625" style="60"/>
  </cols>
  <sheetData>
    <row r="1" spans="1:13">
      <c r="A1" s="119" t="s">
        <v>209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>
      <c r="A2" s="119" t="s">
        <v>139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</row>
    <row r="3" spans="1:13">
      <c r="A3" s="61"/>
      <c r="B3" s="61"/>
      <c r="C3" s="61"/>
      <c r="D3" s="62"/>
      <c r="E3" s="62"/>
      <c r="F3" s="62"/>
      <c r="G3" s="62"/>
      <c r="H3" s="62"/>
      <c r="I3" s="62"/>
      <c r="J3" s="62"/>
      <c r="K3" s="62"/>
      <c r="L3" s="62"/>
      <c r="M3" s="62"/>
    </row>
    <row r="4" spans="1:13">
      <c r="C4" s="69"/>
      <c r="D4" s="500" t="s">
        <v>210</v>
      </c>
      <c r="E4" s="500"/>
      <c r="F4" s="500" t="s">
        <v>210</v>
      </c>
      <c r="G4" s="500"/>
      <c r="H4" s="500" t="s">
        <v>210</v>
      </c>
      <c r="I4" s="500"/>
      <c r="J4" s="500" t="s">
        <v>210</v>
      </c>
      <c r="K4" s="500"/>
      <c r="L4" s="500" t="s">
        <v>210</v>
      </c>
      <c r="M4" s="500"/>
    </row>
    <row r="5" spans="1:13" s="125" customFormat="1">
      <c r="A5" s="120" t="s">
        <v>211</v>
      </c>
      <c r="B5" s="121"/>
      <c r="C5" s="122" t="s">
        <v>142</v>
      </c>
      <c r="D5" s="123" t="s">
        <v>260</v>
      </c>
      <c r="E5" s="124"/>
      <c r="F5" s="123" t="s">
        <v>343</v>
      </c>
      <c r="G5" s="124"/>
      <c r="H5" s="123" t="s">
        <v>344</v>
      </c>
      <c r="I5" s="124"/>
      <c r="J5" s="123" t="s">
        <v>345</v>
      </c>
      <c r="K5" s="124"/>
      <c r="L5" s="123" t="s">
        <v>346</v>
      </c>
      <c r="M5" s="124"/>
    </row>
    <row r="6" spans="1:13">
      <c r="A6" s="64"/>
      <c r="B6" s="64"/>
      <c r="C6" s="61"/>
      <c r="D6" s="66"/>
      <c r="E6" s="66"/>
      <c r="F6" s="66"/>
      <c r="G6" s="66"/>
      <c r="H6" s="66"/>
      <c r="I6" s="66"/>
      <c r="J6" s="66"/>
      <c r="K6" s="66"/>
      <c r="L6" s="66"/>
      <c r="M6" s="66"/>
    </row>
    <row r="7" spans="1:13">
      <c r="A7" s="126" t="s">
        <v>212</v>
      </c>
      <c r="B7" s="126"/>
      <c r="C7" s="127"/>
      <c r="D7" s="128"/>
      <c r="E7" s="128"/>
      <c r="F7" s="128"/>
      <c r="G7" s="128"/>
      <c r="H7" s="128"/>
      <c r="I7" s="128"/>
      <c r="J7" s="128"/>
      <c r="K7" s="128"/>
      <c r="L7" s="128"/>
      <c r="M7" s="128"/>
    </row>
    <row r="8" spans="1:13">
      <c r="C8" s="69"/>
      <c r="D8" s="129"/>
      <c r="E8" s="129"/>
      <c r="F8" s="129"/>
      <c r="G8" s="129"/>
      <c r="H8" s="129"/>
      <c r="I8" s="129"/>
      <c r="J8" s="129"/>
      <c r="K8" s="129"/>
      <c r="L8" s="129"/>
      <c r="M8" s="129"/>
    </row>
    <row r="9" spans="1:13">
      <c r="B9" s="60" t="s">
        <v>213</v>
      </c>
      <c r="C9" s="69"/>
      <c r="D9" s="70"/>
      <c r="E9" s="71">
        <f>D9/$D$47</f>
        <v>0</v>
      </c>
      <c r="F9" s="70"/>
      <c r="G9" s="71">
        <f>F9/$D$47</f>
        <v>0</v>
      </c>
      <c r="H9" s="70"/>
      <c r="I9" s="71">
        <f t="shared" ref="I9" si="0">H9/$D$47</f>
        <v>0</v>
      </c>
      <c r="J9" s="70"/>
      <c r="K9" s="71">
        <f t="shared" ref="K9" si="1">J9/$D$47</f>
        <v>0</v>
      </c>
      <c r="L9" s="70"/>
      <c r="M9" s="71">
        <f t="shared" ref="M9:M11" si="2">L9/$D$47</f>
        <v>0</v>
      </c>
    </row>
    <row r="10" spans="1:13">
      <c r="B10" s="60" t="s">
        <v>214</v>
      </c>
      <c r="C10" s="69"/>
      <c r="D10" s="70"/>
      <c r="E10" s="131">
        <f>D10/$D$47</f>
        <v>0</v>
      </c>
      <c r="F10" s="70"/>
      <c r="G10" s="131">
        <f>F10/$D$47</f>
        <v>0</v>
      </c>
      <c r="H10" s="70"/>
      <c r="I10" s="131">
        <f t="shared" ref="I10" si="3">H10/$D$47</f>
        <v>0</v>
      </c>
      <c r="J10" s="70"/>
      <c r="K10" s="131">
        <f t="shared" ref="K10" si="4">J10/$D$47</f>
        <v>0</v>
      </c>
      <c r="L10" s="70"/>
      <c r="M10" s="131">
        <f t="shared" si="2"/>
        <v>0</v>
      </c>
    </row>
    <row r="11" spans="1:13">
      <c r="B11" s="65" t="s">
        <v>215</v>
      </c>
      <c r="C11" s="61"/>
      <c r="D11" s="132">
        <f>SUM(D9:D10)</f>
        <v>0</v>
      </c>
      <c r="E11" s="133">
        <f>D11/$D$47</f>
        <v>0</v>
      </c>
      <c r="F11" s="132">
        <f>SUM(F9:F10)</f>
        <v>0</v>
      </c>
      <c r="G11" s="133">
        <f>F11/$D$47</f>
        <v>0</v>
      </c>
      <c r="H11" s="132">
        <f t="shared" ref="H11" si="5">SUM(H9:H10)</f>
        <v>0</v>
      </c>
      <c r="I11" s="133">
        <f t="shared" ref="I11" si="6">H11/$D$47</f>
        <v>0</v>
      </c>
      <c r="J11" s="132">
        <f t="shared" ref="J11" si="7">SUM(J9:J10)</f>
        <v>0</v>
      </c>
      <c r="K11" s="133">
        <f t="shared" ref="K11" si="8">J11/$D$47</f>
        <v>0</v>
      </c>
      <c r="L11" s="132">
        <f t="shared" ref="L11" si="9">SUM(L9:L10)</f>
        <v>0</v>
      </c>
      <c r="M11" s="133">
        <f t="shared" si="2"/>
        <v>0</v>
      </c>
    </row>
    <row r="12" spans="1:13">
      <c r="C12" s="69"/>
      <c r="D12" s="129"/>
      <c r="E12" s="130"/>
      <c r="F12" s="129"/>
      <c r="G12" s="130"/>
      <c r="H12" s="129"/>
      <c r="I12" s="130"/>
      <c r="J12" s="129"/>
      <c r="K12" s="130"/>
      <c r="L12" s="129"/>
      <c r="M12" s="130"/>
    </row>
    <row r="13" spans="1:13">
      <c r="B13" s="60" t="s">
        <v>216</v>
      </c>
      <c r="C13" s="69"/>
      <c r="D13" s="70">
        <f>+SUMIF(BG!G:G,ACTIFS!B13,BG!E:E)</f>
        <v>389067.9</v>
      </c>
      <c r="E13" s="71">
        <f>D13/$D$47</f>
        <v>0.43707825853617166</v>
      </c>
      <c r="F13" s="70">
        <f>D13</f>
        <v>389067.9</v>
      </c>
      <c r="G13" s="71">
        <f>F13/$D$47</f>
        <v>0.43707825853617166</v>
      </c>
      <c r="H13" s="70">
        <f>F13</f>
        <v>389067.9</v>
      </c>
      <c r="I13" s="71">
        <f t="shared" ref="I13" si="10">H13/$D$47</f>
        <v>0.43707825853617166</v>
      </c>
      <c r="J13" s="70">
        <f>H13</f>
        <v>389067.9</v>
      </c>
      <c r="K13" s="71">
        <f t="shared" ref="K13" si="11">J13/$D$47</f>
        <v>0.43707825853617166</v>
      </c>
      <c r="L13" s="70">
        <f>J13</f>
        <v>389067.9</v>
      </c>
      <c r="M13" s="71">
        <f t="shared" ref="M13:M15" si="12">L13/$D$47</f>
        <v>0.43707825853617166</v>
      </c>
    </row>
    <row r="14" spans="1:13">
      <c r="B14" s="60" t="s">
        <v>217</v>
      </c>
      <c r="C14" s="69"/>
      <c r="D14" s="70">
        <f>+SUMIF(BG!G:G,ACTIFS!B14,BG!E:E)</f>
        <v>-48956.79</v>
      </c>
      <c r="E14" s="131">
        <f>D14/$D$47</f>
        <v>-5.4997979830052966E-2</v>
      </c>
      <c r="F14" s="70">
        <f>+D14-SUM(Investissements!G5:G8)</f>
        <v>-97563.58</v>
      </c>
      <c r="G14" s="131">
        <f>F14/$D$47</f>
        <v>-0.10960277021814051</v>
      </c>
      <c r="H14" s="70">
        <f>+F14-SUM(Investissements!H5:H8)</f>
        <v>-146170.37</v>
      </c>
      <c r="I14" s="131">
        <f t="shared" ref="I14" si="13">H14/$D$47</f>
        <v>-0.16420756060622804</v>
      </c>
      <c r="J14" s="70">
        <f>+H14-SUM(Investissements!I5:I8)</f>
        <v>-194777.16</v>
      </c>
      <c r="K14" s="131">
        <f t="shared" ref="K14" si="14">J14/$D$47</f>
        <v>-0.21881235099431559</v>
      </c>
      <c r="L14" s="70">
        <f>+J14-SUM(Investissements!J5:J8)</f>
        <v>-243383.95</v>
      </c>
      <c r="M14" s="131">
        <f t="shared" si="12"/>
        <v>-0.27341714138240314</v>
      </c>
    </row>
    <row r="15" spans="1:13">
      <c r="B15" s="65" t="s">
        <v>218</v>
      </c>
      <c r="C15" s="69">
        <v>1</v>
      </c>
      <c r="D15" s="132">
        <f>SUM(D13:D14)</f>
        <v>340111.11000000004</v>
      </c>
      <c r="E15" s="133">
        <f>D15/$D$47</f>
        <v>0.38208027870611877</v>
      </c>
      <c r="F15" s="132">
        <f>SUM(F13:F14)</f>
        <v>291504.32</v>
      </c>
      <c r="G15" s="133">
        <f>F15/$D$47</f>
        <v>0.32747548831803114</v>
      </c>
      <c r="H15" s="132">
        <f t="shared" ref="H15" si="15">SUM(H13:H14)</f>
        <v>242897.53000000003</v>
      </c>
      <c r="I15" s="133">
        <f t="shared" ref="I15" si="16">H15/$D$47</f>
        <v>0.27287069792994367</v>
      </c>
      <c r="J15" s="132">
        <f t="shared" ref="J15" si="17">SUM(J13:J14)</f>
        <v>194290.74000000002</v>
      </c>
      <c r="K15" s="133">
        <f t="shared" ref="K15" si="18">J15/$D$47</f>
        <v>0.2182659075418561</v>
      </c>
      <c r="L15" s="132">
        <f t="shared" ref="L15" si="19">SUM(L13:L14)</f>
        <v>145683.95000000001</v>
      </c>
      <c r="M15" s="133">
        <f t="shared" si="12"/>
        <v>0.16366111715376855</v>
      </c>
    </row>
    <row r="16" spans="1:13">
      <c r="C16" s="69"/>
      <c r="D16" s="70"/>
      <c r="E16" s="71"/>
      <c r="F16" s="70"/>
      <c r="G16" s="71"/>
      <c r="H16" s="70"/>
      <c r="I16" s="71"/>
      <c r="J16" s="70"/>
      <c r="K16" s="71"/>
      <c r="L16" s="70"/>
      <c r="M16" s="71"/>
    </row>
    <row r="17" spans="1:16">
      <c r="B17" s="60" t="s">
        <v>219</v>
      </c>
      <c r="C17" s="69">
        <v>2</v>
      </c>
      <c r="D17" s="70">
        <v>0</v>
      </c>
      <c r="E17" s="71">
        <f>D17/$D$47</f>
        <v>0</v>
      </c>
      <c r="F17" s="70">
        <v>0</v>
      </c>
      <c r="G17" s="71">
        <f>F17/$D$47</f>
        <v>0</v>
      </c>
      <c r="H17" s="70">
        <v>0</v>
      </c>
      <c r="I17" s="71">
        <f t="shared" ref="I17" si="20">H17/$D$47</f>
        <v>0</v>
      </c>
      <c r="J17" s="70">
        <v>0</v>
      </c>
      <c r="K17" s="71">
        <f t="shared" ref="K17" si="21">J17/$D$47</f>
        <v>0</v>
      </c>
      <c r="L17" s="70">
        <v>0</v>
      </c>
      <c r="M17" s="71">
        <f t="shared" ref="M17" si="22">L17/$D$47</f>
        <v>0</v>
      </c>
    </row>
    <row r="18" spans="1:16">
      <c r="C18" s="69"/>
      <c r="D18" s="70"/>
      <c r="E18" s="71"/>
      <c r="F18" s="70"/>
      <c r="G18" s="71"/>
      <c r="H18" s="70"/>
      <c r="I18" s="71"/>
      <c r="J18" s="70"/>
      <c r="K18" s="71"/>
      <c r="L18" s="70"/>
      <c r="M18" s="71"/>
    </row>
    <row r="19" spans="1:16">
      <c r="B19" s="60" t="s">
        <v>220</v>
      </c>
      <c r="C19" s="69"/>
      <c r="D19" s="70">
        <f>D11+D15+D17</f>
        <v>340111.11000000004</v>
      </c>
      <c r="E19" s="71">
        <f>D19/$D$47</f>
        <v>0.38208027870611877</v>
      </c>
      <c r="F19" s="70">
        <f>F11+F15+F17</f>
        <v>291504.32</v>
      </c>
      <c r="G19" s="71">
        <f>F19/$D$47</f>
        <v>0.32747548831803114</v>
      </c>
      <c r="H19" s="70">
        <f t="shared" ref="H19" si="23">H11+H15+H17</f>
        <v>242897.53000000003</v>
      </c>
      <c r="I19" s="71">
        <f t="shared" ref="I19" si="24">H19/$D$47</f>
        <v>0.27287069792994367</v>
      </c>
      <c r="J19" s="70">
        <f t="shared" ref="J19" si="25">J11+J15+J17</f>
        <v>194290.74000000002</v>
      </c>
      <c r="K19" s="71">
        <f t="shared" ref="K19" si="26">J19/$D$47</f>
        <v>0.2182659075418561</v>
      </c>
      <c r="L19" s="70">
        <f t="shared" ref="L19" si="27">L11+L15+L17</f>
        <v>145683.95000000001</v>
      </c>
      <c r="M19" s="71">
        <f t="shared" ref="M19" si="28">L19/$D$47</f>
        <v>0.16366111715376855</v>
      </c>
    </row>
    <row r="20" spans="1:16">
      <c r="C20" s="69"/>
      <c r="D20" s="70"/>
      <c r="E20" s="71"/>
      <c r="F20" s="70"/>
      <c r="G20" s="71"/>
      <c r="H20" s="70"/>
      <c r="I20" s="71"/>
      <c r="J20" s="70"/>
      <c r="K20" s="71"/>
      <c r="L20" s="70"/>
      <c r="M20" s="71"/>
    </row>
    <row r="21" spans="1:16">
      <c r="B21" s="60" t="s">
        <v>221</v>
      </c>
      <c r="C21" s="69"/>
      <c r="D21" s="70">
        <f>+SUMIF(BG!G:G,ACTIFS!B21,BG!E:E)</f>
        <v>13667.35</v>
      </c>
      <c r="E21" s="71">
        <f>D21/$D$47</f>
        <v>1.5353879198989034E-2</v>
      </c>
      <c r="F21" s="70">
        <f>+Investissements!B10-(Investissements!D10+Investissements!F10)</f>
        <v>13667.35</v>
      </c>
      <c r="G21" s="71">
        <f>F21/$D$47</f>
        <v>1.5353879198989034E-2</v>
      </c>
      <c r="H21" s="70">
        <f>+Investissements!B10-SUM(Investissements!D10:G10)</f>
        <v>6834.7000000000007</v>
      </c>
      <c r="I21" s="71">
        <f t="shared" ref="I21" si="29">H21/$D$47</f>
        <v>7.6780910828602739E-3</v>
      </c>
      <c r="J21" s="70">
        <v>0</v>
      </c>
      <c r="K21" s="71">
        <f t="shared" ref="K21" si="30">J21/$D$47</f>
        <v>0</v>
      </c>
      <c r="L21" s="70">
        <v>0</v>
      </c>
      <c r="M21" s="71">
        <f t="shared" ref="M21" si="31">L21/$D$47</f>
        <v>0</v>
      </c>
    </row>
    <row r="22" spans="1:16">
      <c r="C22" s="69"/>
      <c r="D22" s="70"/>
      <c r="E22" s="71"/>
      <c r="F22" s="70"/>
      <c r="G22" s="71"/>
      <c r="H22" s="70"/>
      <c r="I22" s="71"/>
      <c r="J22" s="70"/>
      <c r="K22" s="71"/>
      <c r="L22" s="70"/>
      <c r="M22" s="71"/>
    </row>
    <row r="23" spans="1:16">
      <c r="A23" s="135" t="s">
        <v>222</v>
      </c>
      <c r="B23" s="135"/>
      <c r="C23" s="136"/>
      <c r="D23" s="137">
        <f>+D11+D15+D17+D21</f>
        <v>353778.46</v>
      </c>
      <c r="E23" s="138">
        <f>D23/$D$47</f>
        <v>0.39743415790510778</v>
      </c>
      <c r="F23" s="137">
        <f>+F11+F15+F17+F21</f>
        <v>305171.67</v>
      </c>
      <c r="G23" s="138">
        <f>F23/$D$47</f>
        <v>0.34282936751702014</v>
      </c>
      <c r="H23" s="137">
        <f t="shared" ref="H23" si="32">+H11+H15+H17+H21</f>
        <v>249732.23000000004</v>
      </c>
      <c r="I23" s="138">
        <f t="shared" ref="I23" si="33">H23/$D$47</f>
        <v>0.28054878901280395</v>
      </c>
      <c r="J23" s="137">
        <f t="shared" ref="J23" si="34">+J11+J15+J17+J21</f>
        <v>194290.74000000002</v>
      </c>
      <c r="K23" s="138">
        <f t="shared" ref="K23" si="35">J23/$D$47</f>
        <v>0.2182659075418561</v>
      </c>
      <c r="L23" s="137">
        <f t="shared" ref="L23" si="36">+L11+L15+L17+L21</f>
        <v>145683.95000000001</v>
      </c>
      <c r="M23" s="138">
        <f t="shared" ref="M23" si="37">L23/$D$47</f>
        <v>0.16366111715376855</v>
      </c>
    </row>
    <row r="24" spans="1:16">
      <c r="C24" s="69"/>
      <c r="D24" s="70"/>
      <c r="E24" s="71"/>
      <c r="F24" s="70"/>
      <c r="G24" s="71"/>
      <c r="H24" s="70"/>
      <c r="I24" s="71"/>
      <c r="J24" s="70"/>
      <c r="K24" s="71"/>
      <c r="L24" s="70"/>
      <c r="M24" s="71"/>
    </row>
    <row r="25" spans="1:16">
      <c r="A25" s="126" t="s">
        <v>223</v>
      </c>
      <c r="B25" s="126"/>
      <c r="C25" s="74"/>
      <c r="D25" s="134"/>
      <c r="E25" s="131"/>
      <c r="F25" s="134"/>
      <c r="G25" s="131"/>
      <c r="H25" s="134"/>
      <c r="I25" s="131"/>
      <c r="J25" s="134"/>
      <c r="K25" s="131"/>
      <c r="L25" s="134"/>
      <c r="M25" s="131"/>
    </row>
    <row r="26" spans="1:16">
      <c r="C26" s="69"/>
      <c r="D26" s="70"/>
      <c r="E26" s="71"/>
      <c r="F26" s="70"/>
      <c r="G26" s="71"/>
      <c r="H26" s="70"/>
      <c r="I26" s="71"/>
      <c r="J26" s="70"/>
      <c r="K26" s="71"/>
      <c r="L26" s="70"/>
      <c r="M26" s="71"/>
    </row>
    <row r="27" spans="1:16">
      <c r="B27" s="60" t="s">
        <v>224</v>
      </c>
      <c r="C27" s="69">
        <v>3</v>
      </c>
      <c r="D27" s="70">
        <f>+SUMIF(BG!G:G,ACTIFS!B27,BG!E:E)</f>
        <v>134154.89808306453</v>
      </c>
      <c r="E27" s="71">
        <f>D27/$D$47</f>
        <v>0.1507093986120249</v>
      </c>
      <c r="F27" s="70" t="e">
        <f>+#REF!</f>
        <v>#REF!</v>
      </c>
      <c r="G27" s="71" t="e">
        <f>F27/$D$47</f>
        <v>#REF!</v>
      </c>
      <c r="H27" s="70" t="e">
        <f>+#REF!</f>
        <v>#REF!</v>
      </c>
      <c r="I27" s="71" t="e">
        <f t="shared" ref="I27" si="38">H27/$D$47</f>
        <v>#REF!</v>
      </c>
      <c r="J27" s="70" t="e">
        <f>+#REF!</f>
        <v>#REF!</v>
      </c>
      <c r="K27" s="71" t="e">
        <f t="shared" ref="K27" si="39">J27/$D$47</f>
        <v>#REF!</v>
      </c>
      <c r="L27" s="70" t="e">
        <f>+#REF!</f>
        <v>#REF!</v>
      </c>
      <c r="M27" s="71" t="e">
        <f t="shared" ref="M27:M29" si="40">L27/$D$47</f>
        <v>#REF!</v>
      </c>
    </row>
    <row r="28" spans="1:16">
      <c r="B28" s="60" t="s">
        <v>225</v>
      </c>
      <c r="C28" s="69"/>
      <c r="D28" s="134">
        <v>0</v>
      </c>
      <c r="E28" s="131">
        <f>D28/$D$47</f>
        <v>0</v>
      </c>
      <c r="F28" s="134">
        <v>0</v>
      </c>
      <c r="G28" s="131">
        <f>F28/$D$47</f>
        <v>0</v>
      </c>
      <c r="H28" s="134">
        <v>0</v>
      </c>
      <c r="I28" s="131">
        <f t="shared" ref="I28" si="41">H28/$D$47</f>
        <v>0</v>
      </c>
      <c r="J28" s="134">
        <v>0</v>
      </c>
      <c r="K28" s="131">
        <f t="shared" ref="K28" si="42">J28/$D$47</f>
        <v>0</v>
      </c>
      <c r="L28" s="134">
        <v>0</v>
      </c>
      <c r="M28" s="131">
        <f t="shared" si="40"/>
        <v>0</v>
      </c>
    </row>
    <row r="29" spans="1:16">
      <c r="A29" s="65"/>
      <c r="B29" s="65"/>
      <c r="C29" s="61"/>
      <c r="D29" s="132">
        <f>SUM(D27:D28)</f>
        <v>134154.89808306453</v>
      </c>
      <c r="E29" s="133">
        <f>D29/$D$47</f>
        <v>0.1507093986120249</v>
      </c>
      <c r="F29" s="132" t="e">
        <f>SUM(F27:F28)</f>
        <v>#REF!</v>
      </c>
      <c r="G29" s="133" t="e">
        <f>F29/$D$47</f>
        <v>#REF!</v>
      </c>
      <c r="H29" s="132" t="e">
        <f t="shared" ref="H29" si="43">SUM(H27:H28)</f>
        <v>#REF!</v>
      </c>
      <c r="I29" s="133" t="e">
        <f t="shared" ref="I29" si="44">H29/$D$47</f>
        <v>#REF!</v>
      </c>
      <c r="J29" s="132" t="e">
        <f t="shared" ref="J29" si="45">SUM(J27:J28)</f>
        <v>#REF!</v>
      </c>
      <c r="K29" s="133" t="e">
        <f t="shared" ref="K29" si="46">J29/$D$47</f>
        <v>#REF!</v>
      </c>
      <c r="L29" s="132" t="e">
        <f t="shared" ref="L29" si="47">SUM(L27:L28)</f>
        <v>#REF!</v>
      </c>
      <c r="M29" s="133" t="e">
        <f t="shared" si="40"/>
        <v>#REF!</v>
      </c>
    </row>
    <row r="30" spans="1:16">
      <c r="C30" s="69"/>
      <c r="D30" s="70"/>
      <c r="E30" s="71"/>
      <c r="F30" s="70"/>
      <c r="G30" s="71"/>
      <c r="H30" s="70"/>
      <c r="I30" s="71"/>
      <c r="J30" s="70"/>
      <c r="K30" s="71"/>
      <c r="L30" s="70"/>
      <c r="M30" s="71"/>
    </row>
    <row r="31" spans="1:16">
      <c r="B31" s="60" t="s">
        <v>226</v>
      </c>
      <c r="C31" s="69">
        <v>4</v>
      </c>
      <c r="D31" s="70">
        <f>+SUMIF(BG!G:G,ACTIFS!B31,BG!E:E)</f>
        <v>51299.760000000009</v>
      </c>
      <c r="E31" s="71">
        <f>D31/$D$47</f>
        <v>5.763006859245793E-2</v>
      </c>
      <c r="F31" s="70" t="e">
        <f>+#REF!</f>
        <v>#REF!</v>
      </c>
      <c r="G31" s="71" t="e">
        <f>F31/$D$47</f>
        <v>#REF!</v>
      </c>
      <c r="H31" s="70" t="e">
        <f>+#REF!</f>
        <v>#REF!</v>
      </c>
      <c r="I31" s="71" t="e">
        <f t="shared" ref="I31" si="48">H31/$D$47</f>
        <v>#REF!</v>
      </c>
      <c r="J31" s="70" t="e">
        <f>+#REF!</f>
        <v>#REF!</v>
      </c>
      <c r="K31" s="71" t="e">
        <f t="shared" ref="K31" si="49">J31/$D$47</f>
        <v>#REF!</v>
      </c>
      <c r="L31" s="70" t="e">
        <f>+#REF!</f>
        <v>#REF!</v>
      </c>
      <c r="M31" s="71" t="e">
        <f t="shared" ref="M31:M33" si="50">L31/$D$47</f>
        <v>#REF!</v>
      </c>
      <c r="O31" s="60" t="s">
        <v>526</v>
      </c>
      <c r="P31" s="67">
        <f>+D27</f>
        <v>134154.89808306453</v>
      </c>
    </row>
    <row r="32" spans="1:16">
      <c r="B32" s="60" t="s">
        <v>227</v>
      </c>
      <c r="C32" s="69"/>
      <c r="D32" s="134">
        <v>0</v>
      </c>
      <c r="E32" s="131">
        <f>D32/$D$47</f>
        <v>0</v>
      </c>
      <c r="F32" s="134">
        <v>0</v>
      </c>
      <c r="G32" s="131">
        <f>F32/$D$47</f>
        <v>0</v>
      </c>
      <c r="H32" s="134">
        <v>0</v>
      </c>
      <c r="I32" s="131">
        <f t="shared" ref="I32" si="51">H32/$D$47</f>
        <v>0</v>
      </c>
      <c r="J32" s="134">
        <v>0</v>
      </c>
      <c r="K32" s="131">
        <f t="shared" ref="K32" si="52">J32/$D$47</f>
        <v>0</v>
      </c>
      <c r="L32" s="134">
        <v>0</v>
      </c>
      <c r="M32" s="131">
        <f t="shared" si="50"/>
        <v>0</v>
      </c>
      <c r="O32" s="60" t="s">
        <v>527</v>
      </c>
      <c r="P32" s="67">
        <f>+D31</f>
        <v>51299.760000000009</v>
      </c>
    </row>
    <row r="33" spans="1:16">
      <c r="A33" s="65"/>
      <c r="B33" s="65"/>
      <c r="C33" s="61"/>
      <c r="D33" s="132">
        <f>SUM(D31:D32)</f>
        <v>51299.760000000009</v>
      </c>
      <c r="E33" s="133">
        <f>D33/$D$47</f>
        <v>5.763006859245793E-2</v>
      </c>
      <c r="F33" s="132" t="e">
        <f>SUM(F31:F32)</f>
        <v>#REF!</v>
      </c>
      <c r="G33" s="133" t="e">
        <f>F33/$D$47</f>
        <v>#REF!</v>
      </c>
      <c r="H33" s="132" t="e">
        <f t="shared" ref="H33" si="53">SUM(H31:H32)</f>
        <v>#REF!</v>
      </c>
      <c r="I33" s="133" t="e">
        <f t="shared" ref="I33" si="54">H33/$D$47</f>
        <v>#REF!</v>
      </c>
      <c r="J33" s="132" t="e">
        <f t="shared" ref="J33" si="55">SUM(J31:J32)</f>
        <v>#REF!</v>
      </c>
      <c r="K33" s="133" t="e">
        <f t="shared" ref="K33" si="56">J33/$D$47</f>
        <v>#REF!</v>
      </c>
      <c r="L33" s="132" t="e">
        <f t="shared" ref="L33" si="57">SUM(L31:L32)</f>
        <v>#REF!</v>
      </c>
      <c r="M33" s="133" t="e">
        <f t="shared" si="50"/>
        <v>#REF!</v>
      </c>
      <c r="O33" s="60" t="s">
        <v>528</v>
      </c>
      <c r="P33" s="67">
        <f>+D35</f>
        <v>187870.08851303224</v>
      </c>
    </row>
    <row r="34" spans="1:16">
      <c r="C34" s="69"/>
      <c r="D34" s="70"/>
      <c r="E34" s="71"/>
      <c r="F34" s="70"/>
      <c r="G34" s="71"/>
      <c r="H34" s="70"/>
      <c r="I34" s="71"/>
      <c r="J34" s="70"/>
      <c r="K34" s="71"/>
      <c r="L34" s="70"/>
      <c r="M34" s="71"/>
      <c r="O34" s="60" t="s">
        <v>529</v>
      </c>
      <c r="P34" s="67">
        <f>-PASSIFS!D34</f>
        <v>-176657.89072393547</v>
      </c>
    </row>
    <row r="35" spans="1:16">
      <c r="B35" s="60" t="s">
        <v>228</v>
      </c>
      <c r="C35" s="69">
        <v>5</v>
      </c>
      <c r="D35" s="70">
        <f>+SUMIF(BG!G:G,ACTIFS!B35,BG!E:E)</f>
        <v>187870.08851303224</v>
      </c>
      <c r="E35" s="71">
        <f>D35/$D$47</f>
        <v>0.21105295789838369</v>
      </c>
      <c r="F35" s="70" t="e">
        <f>+#REF!</f>
        <v>#REF!</v>
      </c>
      <c r="G35" s="71" t="e">
        <f>F35/$D$47</f>
        <v>#REF!</v>
      </c>
      <c r="H35" s="70" t="e">
        <f>+#REF!</f>
        <v>#REF!</v>
      </c>
      <c r="I35" s="71" t="e">
        <f t="shared" ref="I35" si="58">H35/$D$47</f>
        <v>#REF!</v>
      </c>
      <c r="J35" s="70" t="e">
        <f>+#REF!</f>
        <v>#REF!</v>
      </c>
      <c r="K35" s="71" t="e">
        <f t="shared" ref="K35" si="59">J35/$D$47</f>
        <v>#REF!</v>
      </c>
      <c r="L35" s="70" t="e">
        <f>+#REF!</f>
        <v>#REF!</v>
      </c>
      <c r="M35" s="71" t="e">
        <f t="shared" ref="M35:M37" si="60">L35/$D$47</f>
        <v>#REF!</v>
      </c>
      <c r="O35" s="60" t="s">
        <v>530</v>
      </c>
      <c r="P35" s="67">
        <f>-PASSIFS!D35</f>
        <v>-14734.69144326415</v>
      </c>
    </row>
    <row r="36" spans="1:16">
      <c r="B36" s="60" t="s">
        <v>229</v>
      </c>
      <c r="C36" s="69"/>
      <c r="D36" s="134">
        <v>0</v>
      </c>
      <c r="E36" s="131">
        <f>D36/$D$47</f>
        <v>0</v>
      </c>
      <c r="F36" s="134">
        <v>0</v>
      </c>
      <c r="G36" s="131">
        <f>F36/$D$47</f>
        <v>0</v>
      </c>
      <c r="H36" s="134">
        <v>0</v>
      </c>
      <c r="I36" s="131">
        <f t="shared" ref="I36" si="61">H36/$D$47</f>
        <v>0</v>
      </c>
      <c r="J36" s="134">
        <v>0</v>
      </c>
      <c r="K36" s="131">
        <f t="shared" ref="K36" si="62">J36/$D$47</f>
        <v>0</v>
      </c>
      <c r="L36" s="134">
        <v>0</v>
      </c>
      <c r="M36" s="131">
        <f t="shared" si="60"/>
        <v>0</v>
      </c>
    </row>
    <row r="37" spans="1:16">
      <c r="C37" s="69"/>
      <c r="D37" s="132">
        <f>SUM(D35:D36)</f>
        <v>187870.08851303224</v>
      </c>
      <c r="E37" s="133">
        <f>D37/$D$47</f>
        <v>0.21105295789838369</v>
      </c>
      <c r="F37" s="132" t="e">
        <f>SUM(F35:F36)</f>
        <v>#REF!</v>
      </c>
      <c r="G37" s="133" t="e">
        <f>F37/$D$47</f>
        <v>#REF!</v>
      </c>
      <c r="H37" s="132" t="e">
        <f t="shared" ref="H37" si="63">SUM(H35:H36)</f>
        <v>#REF!</v>
      </c>
      <c r="I37" s="133" t="e">
        <f t="shared" ref="I37" si="64">H37/$D$47</f>
        <v>#REF!</v>
      </c>
      <c r="J37" s="132" t="e">
        <f t="shared" ref="J37" si="65">SUM(J35:J36)</f>
        <v>#REF!</v>
      </c>
      <c r="K37" s="133" t="e">
        <f t="shared" ref="K37" si="66">J37/$D$47</f>
        <v>#REF!</v>
      </c>
      <c r="L37" s="132" t="e">
        <f t="shared" ref="L37" si="67">SUM(L35:L36)</f>
        <v>#REF!</v>
      </c>
      <c r="M37" s="133" t="e">
        <f t="shared" si="60"/>
        <v>#REF!</v>
      </c>
    </row>
    <row r="38" spans="1:16">
      <c r="C38" s="69"/>
      <c r="D38" s="132"/>
      <c r="E38" s="133"/>
      <c r="F38" s="132"/>
      <c r="G38" s="133"/>
      <c r="H38" s="132"/>
      <c r="I38" s="133"/>
      <c r="J38" s="132"/>
      <c r="K38" s="133"/>
      <c r="L38" s="132"/>
      <c r="M38" s="133"/>
    </row>
    <row r="39" spans="1:16">
      <c r="B39" s="60" t="s">
        <v>230</v>
      </c>
      <c r="C39" s="69"/>
      <c r="D39" s="70">
        <v>0</v>
      </c>
      <c r="E39" s="71">
        <f>D39/$D$47</f>
        <v>0</v>
      </c>
      <c r="F39" s="70">
        <v>0</v>
      </c>
      <c r="G39" s="71">
        <f>F39/$D$47</f>
        <v>0</v>
      </c>
      <c r="H39" s="70">
        <v>0</v>
      </c>
      <c r="I39" s="71">
        <f t="shared" ref="I39" si="68">H39/$D$47</f>
        <v>0</v>
      </c>
      <c r="J39" s="70">
        <v>0</v>
      </c>
      <c r="K39" s="71">
        <f t="shared" ref="K39" si="69">J39/$D$47</f>
        <v>0</v>
      </c>
      <c r="L39" s="70">
        <v>0</v>
      </c>
      <c r="M39" s="71">
        <f t="shared" ref="M39:M41" si="70">L39/$D$47</f>
        <v>0</v>
      </c>
    </row>
    <row r="40" spans="1:16">
      <c r="B40" s="60" t="s">
        <v>231</v>
      </c>
      <c r="C40" s="69"/>
      <c r="D40" s="134">
        <v>0</v>
      </c>
      <c r="E40" s="131">
        <f>D40/$D$47</f>
        <v>0</v>
      </c>
      <c r="F40" s="134">
        <v>0</v>
      </c>
      <c r="G40" s="131">
        <f>F40/$D$47</f>
        <v>0</v>
      </c>
      <c r="H40" s="134">
        <v>0</v>
      </c>
      <c r="I40" s="131">
        <f t="shared" ref="I40" si="71">H40/$D$47</f>
        <v>0</v>
      </c>
      <c r="J40" s="134">
        <v>0</v>
      </c>
      <c r="K40" s="131">
        <f t="shared" ref="K40" si="72">J40/$D$47</f>
        <v>0</v>
      </c>
      <c r="L40" s="134">
        <v>0</v>
      </c>
      <c r="M40" s="131">
        <f t="shared" si="70"/>
        <v>0</v>
      </c>
    </row>
    <row r="41" spans="1:16">
      <c r="C41" s="69"/>
      <c r="D41" s="132">
        <f>SUM(D39:D40)</f>
        <v>0</v>
      </c>
      <c r="E41" s="133">
        <f>D41/$D$47</f>
        <v>0</v>
      </c>
      <c r="F41" s="132">
        <f>SUM(F39:F40)</f>
        <v>0</v>
      </c>
      <c r="G41" s="133">
        <f>F41/$D$47</f>
        <v>0</v>
      </c>
      <c r="H41" s="132">
        <f t="shared" ref="H41" si="73">SUM(H39:H40)</f>
        <v>0</v>
      </c>
      <c r="I41" s="133">
        <f t="shared" ref="I41" si="74">H41/$D$47</f>
        <v>0</v>
      </c>
      <c r="J41" s="132">
        <f t="shared" ref="J41" si="75">SUM(J39:J40)</f>
        <v>0</v>
      </c>
      <c r="K41" s="133">
        <f t="shared" ref="K41" si="76">J41/$D$47</f>
        <v>0</v>
      </c>
      <c r="L41" s="132">
        <f t="shared" ref="L41" si="77">SUM(L39:L40)</f>
        <v>0</v>
      </c>
      <c r="M41" s="133">
        <f t="shared" si="70"/>
        <v>0</v>
      </c>
    </row>
    <row r="42" spans="1:16">
      <c r="C42" s="69"/>
      <c r="D42" s="70"/>
      <c r="E42" s="71"/>
      <c r="F42" s="70"/>
      <c r="G42" s="71"/>
      <c r="H42" s="70"/>
      <c r="I42" s="71"/>
      <c r="J42" s="70"/>
      <c r="K42" s="71"/>
      <c r="L42" s="70"/>
      <c r="M42" s="71"/>
    </row>
    <row r="43" spans="1:16">
      <c r="B43" s="60" t="s">
        <v>232</v>
      </c>
      <c r="C43" s="69">
        <v>6</v>
      </c>
      <c r="D43" s="70">
        <f>+SUMIF(BG!G:G,ACTIFS!B43,BG!E:E)</f>
        <v>163052.94370759444</v>
      </c>
      <c r="E43" s="71">
        <f>D43/$D$47</f>
        <v>0.18317341699202583</v>
      </c>
      <c r="F43" s="70">
        <v>0</v>
      </c>
      <c r="G43" s="71">
        <f>F43/$D$47</f>
        <v>0</v>
      </c>
      <c r="H43" s="70">
        <f>+SUMIF(BG!K:K,ACTIFS!F43,BG!I:I)</f>
        <v>0</v>
      </c>
      <c r="I43" s="71">
        <f t="shared" ref="I43" si="78">H43/$D$47</f>
        <v>0</v>
      </c>
      <c r="J43" s="70">
        <f>+SUMIF(BG!M:M,ACTIFS!H43,BG!K:K)</f>
        <v>0</v>
      </c>
      <c r="K43" s="71">
        <f t="shared" ref="K43" si="79">J43/$D$47</f>
        <v>0</v>
      </c>
      <c r="L43" s="70">
        <f>+SUMIF(BG!O:O,ACTIFS!J43,BG!M:M)</f>
        <v>0</v>
      </c>
      <c r="M43" s="71">
        <f t="shared" ref="M43" si="80">L43/$D$47</f>
        <v>0</v>
      </c>
    </row>
    <row r="44" spans="1:16">
      <c r="C44" s="69"/>
      <c r="D44" s="70"/>
      <c r="E44" s="71"/>
      <c r="F44" s="70"/>
      <c r="G44" s="71"/>
      <c r="H44" s="70"/>
      <c r="I44" s="71"/>
      <c r="J44" s="70"/>
      <c r="K44" s="71"/>
      <c r="L44" s="70"/>
      <c r="M44" s="71"/>
    </row>
    <row r="45" spans="1:16">
      <c r="A45" s="135" t="s">
        <v>233</v>
      </c>
      <c r="B45" s="135"/>
      <c r="C45" s="136"/>
      <c r="D45" s="137">
        <f>+D43+D37+D33+D29+D41</f>
        <v>536377.6903036912</v>
      </c>
      <c r="E45" s="138">
        <f>D45/$D$47</f>
        <v>0.60256584209489228</v>
      </c>
      <c r="F45" s="137" t="e">
        <f>+F43+F37+F33+F29+F41</f>
        <v>#REF!</v>
      </c>
      <c r="G45" s="138" t="e">
        <f>F45/$D$47</f>
        <v>#REF!</v>
      </c>
      <c r="H45" s="137" t="e">
        <f t="shared" ref="H45" si="81">+H43+H37+H33+H29+H41</f>
        <v>#REF!</v>
      </c>
      <c r="I45" s="138" t="e">
        <f t="shared" ref="I45" si="82">H45/$D$47</f>
        <v>#REF!</v>
      </c>
      <c r="J45" s="137" t="e">
        <f t="shared" ref="J45" si="83">+J43+J37+J33+J29+J41</f>
        <v>#REF!</v>
      </c>
      <c r="K45" s="138" t="e">
        <f t="shared" ref="K45" si="84">J45/$D$47</f>
        <v>#REF!</v>
      </c>
      <c r="L45" s="137" t="e">
        <f t="shared" ref="L45" si="85">+L43+L37+L33+L29+L41</f>
        <v>#REF!</v>
      </c>
      <c r="M45" s="138" t="e">
        <f t="shared" ref="M45" si="86">L45/$D$47</f>
        <v>#REF!</v>
      </c>
    </row>
    <row r="46" spans="1:16">
      <c r="C46" s="69"/>
      <c r="D46" s="132"/>
      <c r="E46" s="133"/>
      <c r="F46" s="132"/>
      <c r="G46" s="133"/>
      <c r="H46" s="132"/>
      <c r="I46" s="133"/>
      <c r="J46" s="132"/>
      <c r="K46" s="133"/>
      <c r="L46" s="132"/>
      <c r="M46" s="133"/>
    </row>
    <row r="47" spans="1:16">
      <c r="A47" s="135" t="s">
        <v>234</v>
      </c>
      <c r="B47" s="135"/>
      <c r="C47" s="136"/>
      <c r="D47" s="137">
        <f>+D45+D23</f>
        <v>890156.15030369116</v>
      </c>
      <c r="E47" s="138">
        <f>D47/$D$47</f>
        <v>1</v>
      </c>
      <c r="F47" s="137" t="e">
        <f>+F45+F23</f>
        <v>#REF!</v>
      </c>
      <c r="G47" s="138" t="e">
        <f>F47/$D$47</f>
        <v>#REF!</v>
      </c>
      <c r="H47" s="137" t="e">
        <f t="shared" ref="H47" si="87">+H45+H23</f>
        <v>#REF!</v>
      </c>
      <c r="I47" s="138" t="e">
        <f t="shared" ref="I47" si="88">H47/$D$47</f>
        <v>#REF!</v>
      </c>
      <c r="J47" s="137" t="e">
        <f t="shared" ref="J47" si="89">+J45+J23</f>
        <v>#REF!</v>
      </c>
      <c r="K47" s="138" t="e">
        <f t="shared" ref="K47" si="90">J47/$D$47</f>
        <v>#REF!</v>
      </c>
      <c r="L47" s="137" t="e">
        <f t="shared" ref="L47" si="91">+L45+L23</f>
        <v>#REF!</v>
      </c>
      <c r="M47" s="138" t="e">
        <f t="shared" ref="M47" si="92">L47/$D$47</f>
        <v>#REF!</v>
      </c>
    </row>
    <row r="49" spans="1:13">
      <c r="B49" s="139" t="s">
        <v>235</v>
      </c>
      <c r="C49" s="139"/>
      <c r="D49" s="140">
        <f>D47-PASSIFS!D42</f>
        <v>0</v>
      </c>
      <c r="E49" s="140"/>
      <c r="F49" s="140" t="e">
        <f>F47-PASSIFS!F42</f>
        <v>#REF!</v>
      </c>
      <c r="G49" s="140"/>
      <c r="H49" s="140" t="e">
        <f>H47-PASSIFS!H42</f>
        <v>#REF!</v>
      </c>
      <c r="I49" s="140"/>
      <c r="J49" s="140" t="e">
        <f>J47-PASSIFS!J42</f>
        <v>#REF!</v>
      </c>
      <c r="K49" s="140"/>
      <c r="L49" s="140" t="e">
        <f>L47-PASSIFS!L42</f>
        <v>#REF!</v>
      </c>
      <c r="M49" s="140"/>
    </row>
    <row r="52" spans="1:13" s="67" customFormat="1">
      <c r="A52" s="60"/>
      <c r="B52" s="60"/>
      <c r="C52" s="60"/>
    </row>
  </sheetData>
  <mergeCells count="5">
    <mergeCell ref="D4:E4"/>
    <mergeCell ref="F4:G4"/>
    <mergeCell ref="H4:I4"/>
    <mergeCell ref="J4:K4"/>
    <mergeCell ref="L4:M4"/>
  </mergeCells>
  <pageMargins left="0.75" right="0.75" top="1" bottom="1" header="0.5" footer="0.5"/>
  <pageSetup paperSize="9" scale="64" orientation="landscape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00B0F0"/>
  </sheetPr>
  <dimension ref="A1:V44"/>
  <sheetViews>
    <sheetView view="pageBreakPreview" zoomScaleSheetLayoutView="100" workbookViewId="0">
      <pane xSplit="3" ySplit="5" topLeftCell="D26" activePane="bottomRight" state="frozen"/>
      <selection activeCell="K25" sqref="K25"/>
      <selection pane="topRight" activeCell="K25" sqref="K25"/>
      <selection pane="bottomLeft" activeCell="K25" sqref="K25"/>
      <selection pane="bottomRight" activeCell="D28" sqref="D28"/>
    </sheetView>
  </sheetViews>
  <sheetFormatPr baseColWidth="10" defaultColWidth="10.28515625" defaultRowHeight="15"/>
  <cols>
    <col min="1" max="1" width="2.28515625" style="60" customWidth="1"/>
    <col min="2" max="2" width="27.7109375" style="60" customWidth="1"/>
    <col min="3" max="3" width="8.42578125" style="60" bestFit="1" customWidth="1"/>
    <col min="4" max="4" width="11.140625" style="67" customWidth="1"/>
    <col min="5" max="5" width="8.140625" style="67" customWidth="1"/>
    <col min="6" max="6" width="11.140625" style="67" hidden="1" customWidth="1"/>
    <col min="7" max="7" width="8.140625" style="67" hidden="1" customWidth="1"/>
    <col min="8" max="8" width="11.140625" style="67" hidden="1" customWidth="1"/>
    <col min="9" max="9" width="8.140625" style="67" hidden="1" customWidth="1"/>
    <col min="10" max="10" width="11.140625" style="67" hidden="1" customWidth="1"/>
    <col min="11" max="11" width="8.140625" style="67" hidden="1" customWidth="1"/>
    <col min="12" max="12" width="11.140625" style="67" hidden="1" customWidth="1"/>
    <col min="13" max="13" width="15.85546875" style="67" hidden="1" customWidth="1"/>
    <col min="14" max="14" width="15.85546875" customWidth="1"/>
    <col min="15" max="22" width="10.28515625" style="144"/>
    <col min="23" max="16384" width="10.28515625" style="60"/>
  </cols>
  <sheetData>
    <row r="1" spans="1:22" s="67" customFormat="1">
      <c r="A1" s="119" t="s">
        <v>209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/>
      <c r="O1" s="143"/>
      <c r="P1" s="143"/>
      <c r="Q1" s="143"/>
      <c r="R1" s="143"/>
      <c r="S1" s="143"/>
      <c r="T1" s="143"/>
      <c r="U1" s="143"/>
      <c r="V1" s="143"/>
    </row>
    <row r="2" spans="1:22" s="67" customFormat="1">
      <c r="A2" s="119" t="s">
        <v>139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/>
      <c r="O2" s="143"/>
      <c r="P2" s="143"/>
      <c r="Q2" s="143"/>
      <c r="R2" s="143"/>
      <c r="S2" s="143"/>
      <c r="T2" s="143"/>
      <c r="U2" s="143"/>
      <c r="V2" s="143"/>
    </row>
    <row r="3" spans="1:22" s="67" customFormat="1">
      <c r="A3" s="61"/>
      <c r="B3" s="61"/>
      <c r="C3" s="6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/>
      <c r="O3" s="143"/>
      <c r="P3" s="143"/>
      <c r="Q3" s="143"/>
      <c r="R3" s="143"/>
      <c r="S3" s="143"/>
      <c r="T3" s="143"/>
      <c r="U3" s="143"/>
      <c r="V3" s="143"/>
    </row>
    <row r="4" spans="1:22" s="67" customFormat="1">
      <c r="A4" s="60"/>
      <c r="B4" s="60"/>
      <c r="C4" s="69"/>
      <c r="D4" s="500" t="s">
        <v>210</v>
      </c>
      <c r="E4" s="500"/>
      <c r="F4" s="500" t="s">
        <v>210</v>
      </c>
      <c r="G4" s="500"/>
      <c r="H4" s="500" t="s">
        <v>210</v>
      </c>
      <c r="I4" s="500"/>
      <c r="J4" s="500" t="s">
        <v>210</v>
      </c>
      <c r="K4" s="500"/>
      <c r="L4" s="500" t="s">
        <v>210</v>
      </c>
      <c r="M4" s="500"/>
      <c r="N4"/>
      <c r="O4" s="143"/>
      <c r="P4" s="143"/>
      <c r="Q4" s="143"/>
      <c r="R4" s="143"/>
      <c r="S4" s="143"/>
      <c r="T4" s="143"/>
      <c r="U4" s="143"/>
      <c r="V4" s="143"/>
    </row>
    <row r="5" spans="1:22" s="67" customFormat="1">
      <c r="A5" s="502" t="s">
        <v>236</v>
      </c>
      <c r="B5" s="502"/>
      <c r="C5" s="122" t="s">
        <v>142</v>
      </c>
      <c r="D5" s="123" t="s">
        <v>260</v>
      </c>
      <c r="E5" s="124"/>
      <c r="F5" s="123" t="s">
        <v>260</v>
      </c>
      <c r="G5" s="124"/>
      <c r="H5" s="123" t="s">
        <v>260</v>
      </c>
      <c r="I5" s="124"/>
      <c r="J5" s="123" t="s">
        <v>260</v>
      </c>
      <c r="K5" s="124"/>
      <c r="L5" s="123" t="s">
        <v>260</v>
      </c>
      <c r="M5" s="124"/>
      <c r="N5"/>
      <c r="O5" s="143"/>
      <c r="P5" s="143"/>
      <c r="Q5" s="143"/>
      <c r="R5" s="143"/>
      <c r="S5" s="143"/>
      <c r="T5" s="143"/>
      <c r="U5" s="143"/>
      <c r="V5" s="143"/>
    </row>
    <row r="6" spans="1:22" s="67" customFormat="1">
      <c r="A6" s="64"/>
      <c r="B6" s="64"/>
      <c r="C6" s="61"/>
      <c r="D6" s="66"/>
      <c r="E6" s="66"/>
      <c r="F6" s="66"/>
      <c r="G6" s="66"/>
      <c r="H6" s="66"/>
      <c r="I6" s="66"/>
      <c r="J6" s="66"/>
      <c r="K6" s="66"/>
      <c r="L6" s="66"/>
      <c r="M6" s="66"/>
      <c r="N6"/>
      <c r="O6" s="143"/>
      <c r="P6" s="143"/>
      <c r="Q6" s="143"/>
      <c r="R6" s="143"/>
      <c r="S6" s="143"/>
      <c r="T6" s="143"/>
      <c r="U6" s="143"/>
      <c r="V6" s="143"/>
    </row>
    <row r="7" spans="1:22" s="67" customFormat="1">
      <c r="A7" s="503" t="s">
        <v>237</v>
      </c>
      <c r="B7" s="503"/>
      <c r="C7" s="74"/>
      <c r="D7" s="128"/>
      <c r="E7" s="128"/>
      <c r="F7" s="128"/>
      <c r="G7" s="128"/>
      <c r="H7" s="128"/>
      <c r="I7" s="128"/>
      <c r="J7" s="128"/>
      <c r="K7" s="128"/>
      <c r="L7" s="128"/>
      <c r="M7" s="128"/>
      <c r="N7"/>
      <c r="O7" s="143"/>
      <c r="P7" s="143"/>
      <c r="Q7" s="143"/>
      <c r="R7" s="143"/>
      <c r="S7" s="143"/>
      <c r="T7" s="143"/>
      <c r="U7" s="143"/>
      <c r="V7" s="143"/>
    </row>
    <row r="8" spans="1:22" s="67" customFormat="1">
      <c r="A8" s="60"/>
      <c r="B8" s="60"/>
      <c r="C8" s="69"/>
      <c r="N8"/>
      <c r="O8" s="143"/>
      <c r="P8" s="143"/>
      <c r="Q8" s="143"/>
      <c r="R8" s="143"/>
      <c r="S8" s="143"/>
      <c r="T8" s="143"/>
      <c r="U8" s="143"/>
      <c r="V8" s="143"/>
    </row>
    <row r="9" spans="1:22" s="67" customFormat="1">
      <c r="A9" s="60"/>
      <c r="B9" s="60" t="s">
        <v>238</v>
      </c>
      <c r="C9" s="69"/>
      <c r="D9" s="70">
        <f>-SUMIF(BG!G:G,PASSIFS!B9,BG!E:E)</f>
        <v>180000</v>
      </c>
      <c r="E9" s="71">
        <f>D9/$D$42</f>
        <v>0.2022117130107903</v>
      </c>
      <c r="F9" s="70">
        <f>+D9</f>
        <v>180000</v>
      </c>
      <c r="G9" s="71">
        <f t="shared" ref="G9:G15" si="0">F9/$D$42</f>
        <v>0.2022117130107903</v>
      </c>
      <c r="H9" s="70">
        <f>+F9</f>
        <v>180000</v>
      </c>
      <c r="I9" s="71">
        <f t="shared" ref="I9:I15" si="1">H9/$D$42</f>
        <v>0.2022117130107903</v>
      </c>
      <c r="J9" s="70">
        <f>+H9</f>
        <v>180000</v>
      </c>
      <c r="K9" s="71">
        <f t="shared" ref="K9:K15" si="2">J9/$D$42</f>
        <v>0.2022117130107903</v>
      </c>
      <c r="L9" s="70">
        <f>+J9</f>
        <v>180000</v>
      </c>
      <c r="M9" s="71">
        <f t="shared" ref="M9:M15" si="3">L9/$D$42</f>
        <v>0.2022117130107903</v>
      </c>
      <c r="N9"/>
      <c r="O9" s="143"/>
      <c r="P9" s="143"/>
      <c r="Q9" s="143"/>
      <c r="R9" s="143"/>
      <c r="S9" s="143"/>
      <c r="T9" s="143"/>
      <c r="U9" s="143"/>
      <c r="V9" s="143"/>
    </row>
    <row r="10" spans="1:22" s="67" customFormat="1">
      <c r="A10" s="60"/>
      <c r="B10" s="60" t="s">
        <v>239</v>
      </c>
      <c r="C10" s="69"/>
      <c r="D10" s="70"/>
      <c r="E10" s="71">
        <f t="shared" ref="E10:E15" si="4">D10/$D$42</f>
        <v>0</v>
      </c>
      <c r="F10" s="70"/>
      <c r="G10" s="71">
        <f t="shared" si="0"/>
        <v>0</v>
      </c>
      <c r="H10" s="70"/>
      <c r="I10" s="71">
        <f t="shared" si="1"/>
        <v>0</v>
      </c>
      <c r="J10" s="70"/>
      <c r="K10" s="71">
        <f t="shared" si="2"/>
        <v>0</v>
      </c>
      <c r="L10" s="70"/>
      <c r="M10" s="71">
        <f t="shared" si="3"/>
        <v>0</v>
      </c>
      <c r="N10"/>
      <c r="O10" s="143"/>
      <c r="P10" s="143"/>
      <c r="Q10" s="143"/>
      <c r="R10" s="143"/>
      <c r="S10" s="143"/>
      <c r="T10" s="143"/>
      <c r="U10" s="143"/>
      <c r="V10" s="143"/>
    </row>
    <row r="11" spans="1:22" s="67" customFormat="1">
      <c r="A11" s="60"/>
      <c r="B11" s="60" t="s">
        <v>240</v>
      </c>
      <c r="C11" s="69"/>
      <c r="D11" s="70"/>
      <c r="E11" s="71">
        <f t="shared" si="4"/>
        <v>0</v>
      </c>
      <c r="F11" s="70">
        <f>+D19</f>
        <v>98763.568136491987</v>
      </c>
      <c r="G11" s="71">
        <f t="shared" si="0"/>
        <v>0.11095083497743306</v>
      </c>
      <c r="H11" s="70">
        <f>+F11+F19</f>
        <v>236620.00030696584</v>
      </c>
      <c r="I11" s="71">
        <f t="shared" si="1"/>
        <v>0.26581853108158493</v>
      </c>
      <c r="J11" s="70">
        <f>+H11+H19</f>
        <v>426821.51544001076</v>
      </c>
      <c r="K11" s="71">
        <f t="shared" si="2"/>
        <v>0.47949060992770032</v>
      </c>
      <c r="L11" s="70">
        <f>+J11+J19</f>
        <v>669612.47495593154</v>
      </c>
      <c r="M11" s="71">
        <f t="shared" si="3"/>
        <v>0.75224158674574348</v>
      </c>
      <c r="N11"/>
      <c r="O11" s="143"/>
      <c r="P11" s="143"/>
      <c r="Q11" s="143"/>
      <c r="R11" s="143"/>
      <c r="S11" s="143"/>
      <c r="T11" s="143"/>
      <c r="U11" s="143"/>
      <c r="V11" s="143"/>
    </row>
    <row r="12" spans="1:22" s="67" customFormat="1">
      <c r="A12" s="60"/>
      <c r="B12" s="60" t="s">
        <v>241</v>
      </c>
      <c r="C12" s="69"/>
      <c r="D12" s="70"/>
      <c r="E12" s="71">
        <f t="shared" si="4"/>
        <v>0</v>
      </c>
      <c r="F12" s="70"/>
      <c r="G12" s="71">
        <f t="shared" si="0"/>
        <v>0</v>
      </c>
      <c r="H12" s="70"/>
      <c r="I12" s="71">
        <f t="shared" si="1"/>
        <v>0</v>
      </c>
      <c r="J12" s="70"/>
      <c r="K12" s="71">
        <f t="shared" si="2"/>
        <v>0</v>
      </c>
      <c r="L12" s="70"/>
      <c r="M12" s="71">
        <f t="shared" si="3"/>
        <v>0</v>
      </c>
      <c r="N12"/>
      <c r="O12" s="143"/>
      <c r="P12" s="143"/>
      <c r="Q12" s="143"/>
      <c r="R12" s="143"/>
      <c r="S12" s="143"/>
      <c r="T12" s="143"/>
      <c r="U12" s="143"/>
      <c r="V12" s="143"/>
    </row>
    <row r="13" spans="1:22" s="67" customFormat="1">
      <c r="A13" s="60"/>
      <c r="B13" s="60" t="s">
        <v>242</v>
      </c>
      <c r="C13" s="69"/>
      <c r="D13" s="70"/>
      <c r="E13" s="71">
        <f t="shared" si="4"/>
        <v>0</v>
      </c>
      <c r="F13" s="70"/>
      <c r="G13" s="71">
        <f t="shared" si="0"/>
        <v>0</v>
      </c>
      <c r="H13" s="70"/>
      <c r="I13" s="71">
        <f t="shared" si="1"/>
        <v>0</v>
      </c>
      <c r="J13" s="70"/>
      <c r="K13" s="71">
        <f t="shared" si="2"/>
        <v>0</v>
      </c>
      <c r="L13" s="70"/>
      <c r="M13" s="71">
        <f t="shared" si="3"/>
        <v>0</v>
      </c>
      <c r="N13"/>
      <c r="O13" s="143"/>
      <c r="P13" s="143"/>
      <c r="Q13" s="143"/>
      <c r="R13" s="143"/>
      <c r="S13" s="143"/>
      <c r="T13" s="143"/>
      <c r="U13" s="143"/>
      <c r="V13" s="143"/>
    </row>
    <row r="14" spans="1:22" s="67" customFormat="1">
      <c r="A14" s="60"/>
      <c r="B14" s="60" t="s">
        <v>243</v>
      </c>
      <c r="C14" s="69"/>
      <c r="D14" s="70"/>
      <c r="E14" s="71">
        <f t="shared" si="4"/>
        <v>0</v>
      </c>
      <c r="F14" s="70"/>
      <c r="G14" s="71">
        <f t="shared" si="0"/>
        <v>0</v>
      </c>
      <c r="H14" s="70"/>
      <c r="I14" s="71">
        <f t="shared" si="1"/>
        <v>0</v>
      </c>
      <c r="J14" s="70"/>
      <c r="K14" s="71">
        <f t="shared" si="2"/>
        <v>0</v>
      </c>
      <c r="L14" s="70"/>
      <c r="M14" s="71">
        <f t="shared" si="3"/>
        <v>0</v>
      </c>
      <c r="N14"/>
      <c r="O14" s="143"/>
      <c r="P14" s="143"/>
      <c r="Q14" s="143"/>
      <c r="R14" s="143"/>
      <c r="S14" s="143"/>
      <c r="T14" s="143"/>
      <c r="U14" s="143"/>
      <c r="V14" s="143"/>
    </row>
    <row r="15" spans="1:22" s="67" customFormat="1">
      <c r="A15" s="60"/>
      <c r="B15" s="60" t="s">
        <v>244</v>
      </c>
      <c r="C15" s="69"/>
      <c r="D15" s="70"/>
      <c r="E15" s="71">
        <f t="shared" si="4"/>
        <v>0</v>
      </c>
      <c r="F15" s="70"/>
      <c r="G15" s="71">
        <f t="shared" si="0"/>
        <v>0</v>
      </c>
      <c r="H15" s="70"/>
      <c r="I15" s="71">
        <f t="shared" si="1"/>
        <v>0</v>
      </c>
      <c r="J15" s="70"/>
      <c r="K15" s="71">
        <f t="shared" si="2"/>
        <v>0</v>
      </c>
      <c r="L15" s="70"/>
      <c r="M15" s="71">
        <f t="shared" si="3"/>
        <v>0</v>
      </c>
      <c r="N15"/>
      <c r="O15" s="143"/>
      <c r="P15" s="143"/>
      <c r="Q15" s="143"/>
      <c r="R15" s="143"/>
      <c r="S15" s="143"/>
      <c r="T15" s="143"/>
      <c r="U15" s="143"/>
      <c r="V15" s="143"/>
    </row>
    <row r="16" spans="1:22" s="67" customFormat="1">
      <c r="A16" s="60"/>
      <c r="B16" s="60"/>
      <c r="C16" s="69"/>
      <c r="N16"/>
      <c r="O16" s="143"/>
      <c r="P16" s="143"/>
      <c r="Q16" s="143"/>
      <c r="R16" s="143"/>
      <c r="S16" s="143"/>
      <c r="T16" s="143"/>
      <c r="U16" s="143"/>
      <c r="V16" s="143"/>
    </row>
    <row r="17" spans="1:22" s="67" customFormat="1">
      <c r="A17" s="501" t="s">
        <v>245</v>
      </c>
      <c r="B17" s="501"/>
      <c r="C17" s="136"/>
      <c r="D17" s="137">
        <f>SUM(D9:D16)</f>
        <v>180000</v>
      </c>
      <c r="E17" s="138">
        <f>D17/$D$42</f>
        <v>0.2022117130107903</v>
      </c>
      <c r="F17" s="137">
        <f t="shared" ref="F17" si="5">SUM(F9:F16)</f>
        <v>278763.56813649199</v>
      </c>
      <c r="G17" s="138">
        <f t="shared" ref="G17" si="6">F17/$D$42</f>
        <v>0.31316254798822335</v>
      </c>
      <c r="H17" s="137">
        <f t="shared" ref="H17" si="7">SUM(H9:H16)</f>
        <v>416620.00030696584</v>
      </c>
      <c r="I17" s="138">
        <f t="shared" ref="I17" si="8">H17/$D$42</f>
        <v>0.4680302440923752</v>
      </c>
      <c r="J17" s="137">
        <f t="shared" ref="J17" si="9">SUM(J9:J16)</f>
        <v>606821.5154400107</v>
      </c>
      <c r="K17" s="138">
        <f t="shared" ref="K17" si="10">J17/$D$42</f>
        <v>0.68170232293849053</v>
      </c>
      <c r="L17" s="137">
        <f t="shared" ref="L17" si="11">SUM(L9:L16)</f>
        <v>849612.47495593154</v>
      </c>
      <c r="M17" s="138">
        <f>L17/$D$42</f>
        <v>0.95445329975653381</v>
      </c>
      <c r="N17"/>
      <c r="O17" s="143"/>
      <c r="P17" s="143"/>
      <c r="Q17" s="143"/>
      <c r="R17" s="143"/>
      <c r="S17" s="143"/>
      <c r="T17" s="143"/>
      <c r="U17" s="143"/>
      <c r="V17" s="143"/>
    </row>
    <row r="18" spans="1:22" s="67" customFormat="1">
      <c r="A18" s="60"/>
      <c r="B18" s="60"/>
      <c r="C18" s="69"/>
      <c r="N18"/>
      <c r="O18" s="143"/>
      <c r="P18" s="143"/>
      <c r="Q18" s="143"/>
      <c r="R18" s="143"/>
      <c r="S18" s="143"/>
      <c r="T18" s="143"/>
      <c r="U18" s="143"/>
      <c r="V18" s="143"/>
    </row>
    <row r="19" spans="1:22" s="67" customFormat="1">
      <c r="A19" s="60"/>
      <c r="B19" s="60" t="s">
        <v>246</v>
      </c>
      <c r="C19" s="69"/>
      <c r="D19" s="70">
        <f>+'P&amp;L'!C37</f>
        <v>98763.568136491987</v>
      </c>
      <c r="E19" s="71">
        <f>D19/$D$42</f>
        <v>0.11095083497743306</v>
      </c>
      <c r="F19" s="70">
        <f>+'P&amp;L'!E37</f>
        <v>137856.43217047385</v>
      </c>
      <c r="G19" s="71">
        <f t="shared" ref="G19" si="12">F19/$D$42</f>
        <v>0.15486769610415188</v>
      </c>
      <c r="H19" s="70">
        <f>+'P&amp;L'!G37</f>
        <v>190201.51513304492</v>
      </c>
      <c r="I19" s="71">
        <f t="shared" ref="I19" si="13">H19/$D$42</f>
        <v>0.21367207884611536</v>
      </c>
      <c r="J19" s="70">
        <f>+'P&amp;L'!I37</f>
        <v>242790.95951592084</v>
      </c>
      <c r="K19" s="71">
        <f t="shared" ref="K19" si="14">J19/$D$42</f>
        <v>0.27275097681804328</v>
      </c>
      <c r="L19" s="70">
        <f>+'P&amp;L'!K37</f>
        <v>311790.55609132466</v>
      </c>
      <c r="M19" s="71">
        <f>L19/$D$42</f>
        <v>0.35026501359896473</v>
      </c>
      <c r="N19"/>
      <c r="O19" s="143"/>
      <c r="P19" s="143"/>
      <c r="Q19" s="143"/>
      <c r="R19" s="143"/>
      <c r="S19" s="143"/>
      <c r="T19" s="143"/>
      <c r="U19" s="143"/>
      <c r="V19" s="143"/>
    </row>
    <row r="20" spans="1:22" s="67" customFormat="1">
      <c r="A20" s="60"/>
      <c r="B20" s="60"/>
      <c r="C20" s="69"/>
      <c r="N20"/>
      <c r="O20" s="143"/>
      <c r="P20" s="143"/>
      <c r="Q20" s="143"/>
      <c r="R20" s="143"/>
      <c r="S20" s="143"/>
      <c r="T20" s="143"/>
      <c r="U20" s="143"/>
      <c r="V20" s="143"/>
    </row>
    <row r="21" spans="1:22" s="67" customFormat="1">
      <c r="A21" s="501" t="s">
        <v>247</v>
      </c>
      <c r="B21" s="501"/>
      <c r="C21" s="136">
        <v>7</v>
      </c>
      <c r="D21" s="137">
        <f>D19+D17</f>
        <v>278763.56813649199</v>
      </c>
      <c r="E21" s="138">
        <f>D21/$D$42</f>
        <v>0.31316254798822335</v>
      </c>
      <c r="F21" s="137">
        <f t="shared" ref="F21" si="15">F19+F17</f>
        <v>416620.00030696584</v>
      </c>
      <c r="G21" s="138">
        <f t="shared" ref="G21" si="16">F21/$D$42</f>
        <v>0.4680302440923752</v>
      </c>
      <c r="H21" s="137">
        <f t="shared" ref="H21" si="17">H19+H17</f>
        <v>606821.5154400107</v>
      </c>
      <c r="I21" s="138">
        <f t="shared" ref="I21" si="18">H21/$D$42</f>
        <v>0.68170232293849053</v>
      </c>
      <c r="J21" s="137">
        <f t="shared" ref="J21" si="19">J19+J17</f>
        <v>849612.47495593154</v>
      </c>
      <c r="K21" s="138">
        <f t="shared" ref="K21" si="20">J21/$D$42</f>
        <v>0.95445329975653381</v>
      </c>
      <c r="L21" s="137">
        <f t="shared" ref="L21" si="21">L19+L17</f>
        <v>1161403.0310472562</v>
      </c>
      <c r="M21" s="138">
        <f>L21/$D$42</f>
        <v>1.3047183133554985</v>
      </c>
      <c r="N21"/>
      <c r="O21" s="143"/>
      <c r="P21" s="143"/>
      <c r="Q21" s="143"/>
      <c r="R21" s="143"/>
      <c r="S21" s="143"/>
      <c r="T21" s="143"/>
      <c r="U21" s="143"/>
      <c r="V21" s="143"/>
    </row>
    <row r="22" spans="1:22" s="67" customFormat="1">
      <c r="A22" s="60"/>
      <c r="B22" s="60"/>
      <c r="C22" s="69"/>
      <c r="N22"/>
      <c r="O22" s="143"/>
      <c r="P22" s="143"/>
      <c r="Q22" s="143"/>
      <c r="R22" s="143"/>
      <c r="S22" s="143"/>
      <c r="T22" s="143"/>
      <c r="U22" s="143"/>
      <c r="V22" s="143"/>
    </row>
    <row r="23" spans="1:22" s="67" customFormat="1">
      <c r="A23" s="503" t="s">
        <v>248</v>
      </c>
      <c r="B23" s="503"/>
      <c r="C23" s="74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/>
      <c r="O23" s="143"/>
      <c r="P23" s="143"/>
      <c r="Q23" s="143"/>
      <c r="R23" s="143"/>
      <c r="S23" s="143"/>
      <c r="T23" s="143"/>
      <c r="U23" s="143"/>
      <c r="V23" s="143"/>
    </row>
    <row r="24" spans="1:22" s="67" customFormat="1">
      <c r="A24" s="60"/>
      <c r="B24" s="60"/>
      <c r="C24" s="69"/>
      <c r="N24"/>
      <c r="O24" s="143"/>
      <c r="P24" s="143"/>
      <c r="Q24" s="143"/>
      <c r="R24" s="143"/>
      <c r="S24" s="143"/>
      <c r="T24" s="143"/>
      <c r="U24" s="143"/>
      <c r="V24" s="143"/>
    </row>
    <row r="25" spans="1:22" s="67" customFormat="1">
      <c r="A25" s="503" t="s">
        <v>249</v>
      </c>
      <c r="B25" s="503"/>
      <c r="C25" s="74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/>
      <c r="O25" s="143"/>
      <c r="P25" s="143"/>
      <c r="Q25" s="143"/>
      <c r="R25" s="143"/>
      <c r="S25" s="143"/>
      <c r="T25" s="143"/>
      <c r="U25" s="143"/>
      <c r="V25" s="143"/>
    </row>
    <row r="26" spans="1:22" s="67" customFormat="1">
      <c r="A26" s="60"/>
      <c r="B26" s="60"/>
      <c r="C26" s="69"/>
      <c r="N26"/>
      <c r="O26" s="143"/>
      <c r="P26" s="143"/>
      <c r="Q26" s="143"/>
      <c r="R26" s="143"/>
      <c r="S26" s="143"/>
      <c r="T26" s="143"/>
      <c r="U26" s="143"/>
      <c r="V26" s="143"/>
    </row>
    <row r="27" spans="1:22" s="67" customFormat="1">
      <c r="A27" s="60"/>
      <c r="B27" s="60" t="s">
        <v>250</v>
      </c>
      <c r="C27" s="69"/>
      <c r="D27" s="70"/>
      <c r="E27" s="71">
        <f>D27/$D$42</f>
        <v>0</v>
      </c>
      <c r="F27" s="70"/>
      <c r="G27" s="71">
        <f t="shared" ref="G27" si="22">F27/$D$42</f>
        <v>0</v>
      </c>
      <c r="H27" s="70"/>
      <c r="I27" s="71">
        <f t="shared" ref="I27" si="23">H27/$D$42</f>
        <v>0</v>
      </c>
      <c r="J27" s="70"/>
      <c r="K27" s="71">
        <f t="shared" ref="K27" si="24">J27/$D$42</f>
        <v>0</v>
      </c>
      <c r="L27" s="70"/>
      <c r="M27" s="71">
        <f>L27/$D$42</f>
        <v>0</v>
      </c>
      <c r="N27"/>
      <c r="O27" s="143"/>
      <c r="P27" s="143"/>
      <c r="Q27" s="143"/>
      <c r="R27" s="143"/>
      <c r="S27" s="143"/>
      <c r="T27" s="143"/>
      <c r="U27" s="143"/>
      <c r="V27" s="143"/>
    </row>
    <row r="28" spans="1:22" s="67" customFormat="1">
      <c r="A28" s="60"/>
      <c r="B28" s="60" t="s">
        <v>251</v>
      </c>
      <c r="C28" s="69">
        <v>8</v>
      </c>
      <c r="D28" s="70">
        <f>-SUMIF(BG!G:G,PASSIFS!B28,BG!E:E)</f>
        <v>420000</v>
      </c>
      <c r="E28" s="71">
        <f>D28/$D$42</f>
        <v>0.47182733035851071</v>
      </c>
      <c r="F28" s="70">
        <f>+D28+'P&amp;L'!E42</f>
        <v>350000</v>
      </c>
      <c r="G28" s="71">
        <f t="shared" ref="G28" si="25">F28/$D$42</f>
        <v>0.39318944196542555</v>
      </c>
      <c r="H28" s="70">
        <f>+F28+'P&amp;L'!G42</f>
        <v>280000</v>
      </c>
      <c r="I28" s="71">
        <f t="shared" ref="I28" si="26">H28/$D$42</f>
        <v>0.31455155357234044</v>
      </c>
      <c r="J28" s="70">
        <f>+H28+'P&amp;L'!I42</f>
        <v>210000</v>
      </c>
      <c r="K28" s="71">
        <f t="shared" ref="K28" si="27">J28/$D$42</f>
        <v>0.23591366517925536</v>
      </c>
      <c r="L28" s="70">
        <f>+J28+'P&amp;L'!K42</f>
        <v>140000</v>
      </c>
      <c r="M28" s="71">
        <f>L28/$D$42</f>
        <v>0.15727577678617022</v>
      </c>
      <c r="N28"/>
      <c r="O28" s="143"/>
      <c r="P28" s="143"/>
      <c r="Q28" s="143"/>
      <c r="R28" s="143"/>
      <c r="S28" s="143"/>
      <c r="T28" s="143"/>
      <c r="U28" s="143"/>
      <c r="V28" s="143"/>
    </row>
    <row r="29" spans="1:22" s="67" customFormat="1">
      <c r="A29" s="60"/>
      <c r="B29" s="60"/>
      <c r="C29" s="69"/>
      <c r="N29"/>
      <c r="O29" s="143"/>
      <c r="P29" s="143"/>
      <c r="Q29" s="143"/>
      <c r="R29" s="143"/>
      <c r="S29" s="143"/>
      <c r="T29" s="143"/>
      <c r="U29" s="143"/>
      <c r="V29" s="143"/>
    </row>
    <row r="30" spans="1:22" s="67" customFormat="1">
      <c r="A30" s="501" t="s">
        <v>252</v>
      </c>
      <c r="B30" s="501"/>
      <c r="C30" s="136"/>
      <c r="D30" s="137">
        <f>SUM(D27:D29)</f>
        <v>420000</v>
      </c>
      <c r="E30" s="138">
        <f>D30/$D$42</f>
        <v>0.47182733035851071</v>
      </c>
      <c r="F30" s="137">
        <f t="shared" ref="F30" si="28">SUM(F27:F29)</f>
        <v>350000</v>
      </c>
      <c r="G30" s="138">
        <f t="shared" ref="G30" si="29">F30/$D$42</f>
        <v>0.39318944196542555</v>
      </c>
      <c r="H30" s="137">
        <f t="shared" ref="H30" si="30">SUM(H27:H29)</f>
        <v>280000</v>
      </c>
      <c r="I30" s="138">
        <f t="shared" ref="I30" si="31">H30/$D$42</f>
        <v>0.31455155357234044</v>
      </c>
      <c r="J30" s="137">
        <f t="shared" ref="J30" si="32">SUM(J27:J29)</f>
        <v>210000</v>
      </c>
      <c r="K30" s="138">
        <f t="shared" ref="K30" si="33">J30/$D$42</f>
        <v>0.23591366517925536</v>
      </c>
      <c r="L30" s="137">
        <f t="shared" ref="L30" si="34">SUM(L27:L29)</f>
        <v>140000</v>
      </c>
      <c r="M30" s="138">
        <f>L30/$D$42</f>
        <v>0.15727577678617022</v>
      </c>
      <c r="N30"/>
      <c r="O30" s="143"/>
      <c r="P30" s="143"/>
      <c r="Q30" s="143"/>
      <c r="R30" s="143"/>
      <c r="S30" s="143"/>
      <c r="T30" s="143"/>
      <c r="U30" s="143"/>
      <c r="V30" s="143"/>
    </row>
    <row r="31" spans="1:22" s="67" customFormat="1">
      <c r="A31" s="60"/>
      <c r="B31" s="60"/>
      <c r="C31" s="69"/>
      <c r="N31"/>
      <c r="O31" s="143"/>
      <c r="P31" s="143"/>
      <c r="Q31" s="143"/>
      <c r="R31" s="143"/>
      <c r="S31" s="143"/>
      <c r="T31" s="143"/>
      <c r="U31" s="143"/>
      <c r="V31" s="143"/>
    </row>
    <row r="32" spans="1:22">
      <c r="A32" s="503" t="s">
        <v>253</v>
      </c>
      <c r="B32" s="503"/>
      <c r="C32" s="74"/>
      <c r="D32" s="142"/>
      <c r="E32" s="142"/>
      <c r="F32" s="142"/>
      <c r="G32" s="142"/>
      <c r="H32" s="142"/>
      <c r="I32" s="142"/>
      <c r="J32" s="142"/>
      <c r="K32" s="142"/>
      <c r="L32" s="142"/>
      <c r="M32" s="142"/>
    </row>
    <row r="33" spans="1:22">
      <c r="C33" s="69"/>
    </row>
    <row r="34" spans="1:22">
      <c r="B34" s="60" t="s">
        <v>254</v>
      </c>
      <c r="C34" s="69">
        <v>9</v>
      </c>
      <c r="D34" s="70">
        <f>-SUMIF(BG!G:G,PASSIFS!B34,BG!E:E)</f>
        <v>176657.89072393547</v>
      </c>
      <c r="E34" s="71">
        <f>D34/$D$42</f>
        <v>0.19845719277866664</v>
      </c>
      <c r="F34" s="70" t="e">
        <f>-#REF!</f>
        <v>#REF!</v>
      </c>
      <c r="G34" s="71" t="e">
        <f t="shared" ref="G34" si="35">F34/$D$42</f>
        <v>#REF!</v>
      </c>
      <c r="H34" s="70" t="e">
        <f>-#REF!</f>
        <v>#REF!</v>
      </c>
      <c r="I34" s="71" t="e">
        <f t="shared" ref="I34" si="36">H34/$D$42</f>
        <v>#REF!</v>
      </c>
      <c r="J34" s="70" t="e">
        <f>-#REF!</f>
        <v>#REF!</v>
      </c>
      <c r="K34" s="71" t="e">
        <f t="shared" ref="K34" si="37">J34/$D$42</f>
        <v>#REF!</v>
      </c>
      <c r="L34" s="70" t="e">
        <f>-#REF!</f>
        <v>#REF!</v>
      </c>
      <c r="M34" s="71" t="e">
        <f t="shared" ref="M34:M36" si="38">L34/$D$42</f>
        <v>#REF!</v>
      </c>
    </row>
    <row r="35" spans="1:22">
      <c r="B35" s="60" t="s">
        <v>255</v>
      </c>
      <c r="C35" s="69">
        <v>10</v>
      </c>
      <c r="D35" s="70">
        <f>-SUMIF(BG!G:G,PASSIFS!B35,BG!E:E)</f>
        <v>14734.69144326415</v>
      </c>
      <c r="E35" s="71">
        <f>D35/$D$42</f>
        <v>1.6552928874599322E-2</v>
      </c>
      <c r="F35" s="70" t="e">
        <f>-#REF!</f>
        <v>#REF!</v>
      </c>
      <c r="G35" s="71" t="e">
        <f t="shared" ref="G35" si="39">F35/$D$42</f>
        <v>#REF!</v>
      </c>
      <c r="H35" s="70" t="e">
        <f>-#REF!</f>
        <v>#REF!</v>
      </c>
      <c r="I35" s="71" t="e">
        <f t="shared" ref="I35" si="40">H35/$D$42</f>
        <v>#REF!</v>
      </c>
      <c r="J35" s="70" t="e">
        <f>-#REF!</f>
        <v>#REF!</v>
      </c>
      <c r="K35" s="71" t="e">
        <f t="shared" ref="K35" si="41">J35/$D$42</f>
        <v>#REF!</v>
      </c>
      <c r="L35" s="70" t="e">
        <f>-#REF!</f>
        <v>#REF!</v>
      </c>
      <c r="M35" s="71" t="e">
        <f t="shared" si="38"/>
        <v>#REF!</v>
      </c>
    </row>
    <row r="36" spans="1:22">
      <c r="B36" s="60" t="s">
        <v>256</v>
      </c>
      <c r="C36" s="69">
        <v>11</v>
      </c>
      <c r="D36" s="70"/>
      <c r="E36" s="71">
        <f>D36/$D$42</f>
        <v>0</v>
      </c>
      <c r="F36" s="70"/>
      <c r="G36" s="71">
        <f t="shared" ref="G36" si="42">F36/$D$42</f>
        <v>0</v>
      </c>
      <c r="H36" s="70"/>
      <c r="I36" s="71">
        <f t="shared" ref="I36" si="43">H36/$D$42</f>
        <v>0</v>
      </c>
      <c r="J36" s="70"/>
      <c r="K36" s="71">
        <f t="shared" ref="K36" si="44">J36/$D$42</f>
        <v>0</v>
      </c>
      <c r="L36" s="70"/>
      <c r="M36" s="71">
        <f t="shared" si="38"/>
        <v>0</v>
      </c>
    </row>
    <row r="37" spans="1:22" s="67" customFormat="1">
      <c r="A37" s="60"/>
      <c r="B37" s="60"/>
      <c r="C37" s="69"/>
      <c r="N37"/>
      <c r="O37" s="143"/>
      <c r="P37" s="143"/>
      <c r="Q37" s="143"/>
      <c r="R37" s="143"/>
      <c r="S37" s="143"/>
      <c r="T37" s="143"/>
      <c r="U37" s="143"/>
      <c r="V37" s="143"/>
    </row>
    <row r="38" spans="1:22" s="67" customFormat="1">
      <c r="A38" s="501" t="s">
        <v>257</v>
      </c>
      <c r="B38" s="501"/>
      <c r="C38" s="136"/>
      <c r="D38" s="137">
        <f>SUM(D34:D37)</f>
        <v>191392.58216719964</v>
      </c>
      <c r="E38" s="138">
        <f>D38/$D$42</f>
        <v>0.21501012165326597</v>
      </c>
      <c r="F38" s="137" t="e">
        <f t="shared" ref="F38" si="45">SUM(F34:F37)</f>
        <v>#REF!</v>
      </c>
      <c r="G38" s="138" t="e">
        <f t="shared" ref="G38" si="46">F38/$D$42</f>
        <v>#REF!</v>
      </c>
      <c r="H38" s="137" t="e">
        <f t="shared" ref="H38" si="47">SUM(H34:H37)</f>
        <v>#REF!</v>
      </c>
      <c r="I38" s="138" t="e">
        <f t="shared" ref="I38" si="48">H38/$D$42</f>
        <v>#REF!</v>
      </c>
      <c r="J38" s="137" t="e">
        <f t="shared" ref="J38" si="49">SUM(J34:J37)</f>
        <v>#REF!</v>
      </c>
      <c r="K38" s="138" t="e">
        <f t="shared" ref="K38" si="50">J38/$D$42</f>
        <v>#REF!</v>
      </c>
      <c r="L38" s="137" t="e">
        <f t="shared" ref="L38" si="51">SUM(L34:L37)</f>
        <v>#REF!</v>
      </c>
      <c r="M38" s="138" t="e">
        <f t="shared" ref="M38" si="52">L38/$D$42</f>
        <v>#REF!</v>
      </c>
      <c r="N38"/>
      <c r="O38" s="143"/>
      <c r="P38" s="143"/>
      <c r="Q38" s="143"/>
      <c r="R38" s="143"/>
      <c r="S38" s="143"/>
      <c r="T38" s="143"/>
      <c r="U38" s="143"/>
      <c r="V38" s="143"/>
    </row>
    <row r="39" spans="1:22" s="67" customFormat="1">
      <c r="A39" s="60"/>
      <c r="B39" s="60"/>
      <c r="C39" s="69"/>
      <c r="E39" s="68"/>
      <c r="G39" s="68"/>
      <c r="I39" s="68"/>
      <c r="K39" s="68"/>
      <c r="M39" s="68"/>
      <c r="N39"/>
      <c r="O39" s="143"/>
      <c r="P39" s="143"/>
      <c r="Q39" s="143"/>
      <c r="R39" s="143"/>
      <c r="S39" s="143"/>
      <c r="T39" s="143"/>
      <c r="U39" s="143"/>
      <c r="V39" s="143"/>
    </row>
    <row r="40" spans="1:22" s="67" customFormat="1">
      <c r="A40" s="501" t="s">
        <v>258</v>
      </c>
      <c r="B40" s="501"/>
      <c r="C40" s="136"/>
      <c r="D40" s="137">
        <f>D38+D30</f>
        <v>611392.58216719958</v>
      </c>
      <c r="E40" s="138">
        <f>D40/$D$42</f>
        <v>0.68683745201177659</v>
      </c>
      <c r="F40" s="137" t="e">
        <f t="shared" ref="F40" si="53">F38+F30</f>
        <v>#REF!</v>
      </c>
      <c r="G40" s="138" t="e">
        <f t="shared" ref="G40" si="54">F40/$D$42</f>
        <v>#REF!</v>
      </c>
      <c r="H40" s="137" t="e">
        <f t="shared" ref="H40" si="55">H38+H30</f>
        <v>#REF!</v>
      </c>
      <c r="I40" s="138" t="e">
        <f t="shared" ref="I40" si="56">H40/$D$42</f>
        <v>#REF!</v>
      </c>
      <c r="J40" s="137" t="e">
        <f t="shared" ref="J40" si="57">J38+J30</f>
        <v>#REF!</v>
      </c>
      <c r="K40" s="138" t="e">
        <f t="shared" ref="K40" si="58">J40/$D$42</f>
        <v>#REF!</v>
      </c>
      <c r="L40" s="137" t="e">
        <f t="shared" ref="L40" si="59">L38+L30</f>
        <v>#REF!</v>
      </c>
      <c r="M40" s="138" t="e">
        <f t="shared" ref="M40" si="60">L40/$D$42</f>
        <v>#REF!</v>
      </c>
      <c r="N40"/>
      <c r="O40" s="143"/>
      <c r="P40" s="143"/>
      <c r="Q40" s="143"/>
      <c r="R40" s="143"/>
      <c r="S40" s="143"/>
      <c r="T40" s="143"/>
      <c r="U40" s="143"/>
      <c r="V40" s="143"/>
    </row>
    <row r="41" spans="1:22" s="67" customFormat="1">
      <c r="A41" s="60"/>
      <c r="B41" s="60"/>
      <c r="C41" s="6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/>
      <c r="O41" s="143"/>
      <c r="P41" s="143"/>
      <c r="Q41" s="143"/>
      <c r="R41" s="143"/>
      <c r="S41" s="143"/>
      <c r="T41" s="143"/>
      <c r="U41" s="143"/>
      <c r="V41" s="143"/>
    </row>
    <row r="42" spans="1:22" s="67" customFormat="1">
      <c r="A42" s="501" t="s">
        <v>259</v>
      </c>
      <c r="B42" s="501"/>
      <c r="C42" s="136"/>
      <c r="D42" s="137">
        <f>D40+D21</f>
        <v>890156.15030369163</v>
      </c>
      <c r="E42" s="138">
        <f>D42/$D$42</f>
        <v>1</v>
      </c>
      <c r="F42" s="137" t="e">
        <f t="shared" ref="F42" si="61">F40+F21</f>
        <v>#REF!</v>
      </c>
      <c r="G42" s="138" t="e">
        <f t="shared" ref="G42" si="62">F42/$D$42</f>
        <v>#REF!</v>
      </c>
      <c r="H42" s="137" t="e">
        <f t="shared" ref="H42" si="63">H40+H21</f>
        <v>#REF!</v>
      </c>
      <c r="I42" s="138" t="e">
        <f t="shared" ref="I42" si="64">H42/$D$42</f>
        <v>#REF!</v>
      </c>
      <c r="J42" s="137" t="e">
        <f t="shared" ref="J42" si="65">J40+J21</f>
        <v>#REF!</v>
      </c>
      <c r="K42" s="138" t="e">
        <f t="shared" ref="K42" si="66">J42/$D$42</f>
        <v>#REF!</v>
      </c>
      <c r="L42" s="137" t="e">
        <f t="shared" ref="L42" si="67">L40+L21</f>
        <v>#REF!</v>
      </c>
      <c r="M42" s="138" t="e">
        <f t="shared" ref="M42" si="68">L42/$D$42</f>
        <v>#REF!</v>
      </c>
      <c r="N42"/>
      <c r="O42" s="143"/>
      <c r="P42" s="143"/>
      <c r="Q42" s="143"/>
      <c r="R42" s="143"/>
      <c r="S42" s="143"/>
      <c r="T42" s="143"/>
      <c r="U42" s="143"/>
      <c r="V42" s="143"/>
    </row>
    <row r="44" spans="1:22" s="67" customFormat="1">
      <c r="A44" s="60"/>
      <c r="B44" s="139" t="s">
        <v>235</v>
      </c>
      <c r="C44" s="139"/>
      <c r="D44" s="140">
        <f>D42-ACTIFS!D47</f>
        <v>0</v>
      </c>
      <c r="E44" s="140"/>
      <c r="F44" s="140" t="e">
        <f>F42-ACTIFS!F47</f>
        <v>#REF!</v>
      </c>
      <c r="G44" s="140"/>
      <c r="H44" s="140" t="e">
        <f>H42-ACTIFS!H47</f>
        <v>#REF!</v>
      </c>
      <c r="I44" s="140"/>
      <c r="J44" s="140" t="e">
        <f>J42-ACTIFS!J47</f>
        <v>#REF!</v>
      </c>
      <c r="K44" s="140"/>
      <c r="L44" s="140" t="e">
        <f>L42-ACTIFS!L47</f>
        <v>#REF!</v>
      </c>
      <c r="M44" s="140"/>
      <c r="N44"/>
      <c r="O44" s="143"/>
      <c r="P44" s="143"/>
      <c r="Q44" s="143"/>
      <c r="R44" s="143"/>
      <c r="S44" s="143"/>
      <c r="T44" s="143"/>
      <c r="U44" s="143"/>
      <c r="V44" s="143"/>
    </row>
  </sheetData>
  <mergeCells count="16">
    <mergeCell ref="F4:G4"/>
    <mergeCell ref="H4:I4"/>
    <mergeCell ref="J4:K4"/>
    <mergeCell ref="L4:M4"/>
    <mergeCell ref="A42:B42"/>
    <mergeCell ref="D4:E4"/>
    <mergeCell ref="A5:B5"/>
    <mergeCell ref="A7:B7"/>
    <mergeCell ref="A17:B17"/>
    <mergeCell ref="A21:B21"/>
    <mergeCell ref="A23:B23"/>
    <mergeCell ref="A25:B25"/>
    <mergeCell ref="A30:B30"/>
    <mergeCell ref="A32:B32"/>
    <mergeCell ref="A38:B38"/>
    <mergeCell ref="A40:B40"/>
  </mergeCells>
  <pageMargins left="0.75" right="0.75" top="1" bottom="1" header="0.5" footer="0.5"/>
  <pageSetup paperSize="9" scale="65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FF0000"/>
  </sheetPr>
  <dimension ref="A2:I67"/>
  <sheetViews>
    <sheetView tabSelected="1" topLeftCell="A37" workbookViewId="0">
      <selection activeCell="D61" sqref="D61"/>
    </sheetView>
  </sheetViews>
  <sheetFormatPr baseColWidth="10" defaultRowHeight="12"/>
  <cols>
    <col min="1" max="1" width="11.42578125" style="3"/>
    <col min="2" max="2" width="27.28515625" style="3" bestFit="1" customWidth="1"/>
    <col min="3" max="4" width="11.42578125" style="75"/>
    <col min="5" max="5" width="12.140625" style="75" bestFit="1" customWidth="1"/>
    <col min="6" max="6" width="2.85546875" style="3" bestFit="1" customWidth="1"/>
    <col min="7" max="7" width="46.7109375" style="3" bestFit="1" customWidth="1"/>
    <col min="8" max="16384" width="11.42578125" style="3"/>
  </cols>
  <sheetData>
    <row r="2" spans="1:9">
      <c r="A2" s="3" t="s">
        <v>270</v>
      </c>
      <c r="B2" s="3" t="s">
        <v>273</v>
      </c>
      <c r="C2" s="75" t="s">
        <v>271</v>
      </c>
      <c r="D2" s="75" t="s">
        <v>272</v>
      </c>
      <c r="E2" s="75" t="s">
        <v>300</v>
      </c>
      <c r="G2" s="3" t="s">
        <v>301</v>
      </c>
      <c r="I2" s="3" t="s">
        <v>319</v>
      </c>
    </row>
    <row r="3" spans="1:9">
      <c r="A3" s="146"/>
      <c r="B3" s="146" t="s">
        <v>274</v>
      </c>
      <c r="C3" s="147">
        <v>180000</v>
      </c>
      <c r="D3" s="147"/>
      <c r="E3" s="148">
        <f>+C3-D3</f>
        <v>180000</v>
      </c>
      <c r="F3" s="3" t="s">
        <v>292</v>
      </c>
      <c r="G3" s="3" t="s">
        <v>232</v>
      </c>
      <c r="H3" s="3" t="s">
        <v>305</v>
      </c>
    </row>
    <row r="4" spans="1:9">
      <c r="A4" s="149"/>
      <c r="B4" s="149" t="s">
        <v>275</v>
      </c>
      <c r="C4" s="150"/>
      <c r="D4" s="150">
        <v>180000</v>
      </c>
      <c r="E4" s="148">
        <f t="shared" ref="E4:E57" si="0">+C4-D4</f>
        <v>-180000</v>
      </c>
      <c r="F4" s="3" t="s">
        <v>292</v>
      </c>
      <c r="G4" s="156" t="s">
        <v>238</v>
      </c>
      <c r="H4" s="3" t="s">
        <v>307</v>
      </c>
    </row>
    <row r="5" spans="1:9">
      <c r="A5" s="146"/>
      <c r="B5" s="146" t="s">
        <v>274</v>
      </c>
      <c r="C5" s="147">
        <f>+D6</f>
        <v>420000</v>
      </c>
      <c r="D5" s="147"/>
      <c r="E5" s="148">
        <f t="shared" si="0"/>
        <v>420000</v>
      </c>
      <c r="F5" s="3" t="s">
        <v>292</v>
      </c>
      <c r="G5" s="3" t="s">
        <v>232</v>
      </c>
      <c r="H5" s="3" t="s">
        <v>305</v>
      </c>
    </row>
    <row r="6" spans="1:9">
      <c r="A6" s="149"/>
      <c r="B6" s="149" t="s">
        <v>276</v>
      </c>
      <c r="C6" s="150"/>
      <c r="D6" s="150">
        <v>420000</v>
      </c>
      <c r="E6" s="148">
        <f t="shared" si="0"/>
        <v>-420000</v>
      </c>
      <c r="F6" s="3" t="s">
        <v>292</v>
      </c>
      <c r="G6" s="156" t="s">
        <v>251</v>
      </c>
      <c r="H6" s="3" t="s">
        <v>306</v>
      </c>
    </row>
    <row r="7" spans="1:9">
      <c r="A7" s="146"/>
      <c r="B7" s="146" t="s">
        <v>276</v>
      </c>
      <c r="C7" s="147">
        <v>0</v>
      </c>
      <c r="D7" s="147"/>
      <c r="E7" s="148">
        <f t="shared" si="0"/>
        <v>0</v>
      </c>
      <c r="F7" s="3" t="s">
        <v>292</v>
      </c>
      <c r="G7" s="3" t="s">
        <v>251</v>
      </c>
      <c r="H7" s="3" t="s">
        <v>306</v>
      </c>
    </row>
    <row r="8" spans="1:9">
      <c r="A8" s="149"/>
      <c r="B8" s="146" t="s">
        <v>274</v>
      </c>
      <c r="C8" s="150"/>
      <c r="D8" s="150">
        <v>0</v>
      </c>
      <c r="E8" s="148">
        <f t="shared" si="0"/>
        <v>0</v>
      </c>
      <c r="F8" s="3" t="s">
        <v>292</v>
      </c>
      <c r="G8" s="3" t="s">
        <v>232</v>
      </c>
      <c r="H8" s="3" t="s">
        <v>305</v>
      </c>
    </row>
    <row r="9" spans="1:9">
      <c r="A9" s="146"/>
      <c r="B9" s="146" t="s">
        <v>277</v>
      </c>
      <c r="C9" s="151">
        <f>+Emprunt!L29</f>
        <v>34860</v>
      </c>
      <c r="D9" s="147"/>
      <c r="E9" s="148">
        <f t="shared" si="0"/>
        <v>34860</v>
      </c>
      <c r="F9" s="3" t="s">
        <v>293</v>
      </c>
    </row>
    <row r="10" spans="1:9">
      <c r="A10" s="149"/>
      <c r="B10" s="146" t="s">
        <v>274</v>
      </c>
      <c r="C10" s="150"/>
      <c r="D10" s="150">
        <f>+C9</f>
        <v>34860</v>
      </c>
      <c r="E10" s="148">
        <f t="shared" si="0"/>
        <v>-34860</v>
      </c>
      <c r="F10" s="3" t="s">
        <v>292</v>
      </c>
      <c r="G10" s="3" t="s">
        <v>232</v>
      </c>
      <c r="H10" s="3" t="s">
        <v>305</v>
      </c>
    </row>
    <row r="11" spans="1:9">
      <c r="A11" s="146"/>
      <c r="B11" s="152" t="s">
        <v>278</v>
      </c>
      <c r="C11" s="147">
        <f>+D12+D13</f>
        <v>1846791.36</v>
      </c>
      <c r="D11" s="147"/>
      <c r="E11" s="148">
        <f t="shared" si="0"/>
        <v>1846791.36</v>
      </c>
      <c r="F11" s="3" t="s">
        <v>292</v>
      </c>
      <c r="G11" s="156" t="s">
        <v>226</v>
      </c>
      <c r="H11" s="3" t="s">
        <v>305</v>
      </c>
    </row>
    <row r="12" spans="1:9">
      <c r="A12" s="12"/>
      <c r="B12" s="30" t="s">
        <v>279</v>
      </c>
      <c r="C12" s="148"/>
      <c r="D12" s="153">
        <f>+'Chiffre d''affaire'!I10</f>
        <v>1742256</v>
      </c>
      <c r="E12" s="148">
        <f t="shared" si="0"/>
        <v>-1742256</v>
      </c>
      <c r="F12" s="3" t="s">
        <v>293</v>
      </c>
    </row>
    <row r="13" spans="1:9">
      <c r="A13" s="149"/>
      <c r="B13" s="154" t="s">
        <v>302</v>
      </c>
      <c r="C13" s="150"/>
      <c r="D13" s="150">
        <f>+D12*0.06</f>
        <v>104535.36</v>
      </c>
      <c r="E13" s="148">
        <f t="shared" si="0"/>
        <v>-104535.36</v>
      </c>
      <c r="F13" s="3" t="s">
        <v>292</v>
      </c>
      <c r="G13" s="156" t="s">
        <v>255</v>
      </c>
      <c r="H13" s="3" t="s">
        <v>306</v>
      </c>
    </row>
    <row r="14" spans="1:9">
      <c r="A14" s="146"/>
      <c r="B14" s="152" t="s">
        <v>274</v>
      </c>
      <c r="C14" s="147">
        <f>+(D16)*0.985</f>
        <v>1768559.226</v>
      </c>
      <c r="D14" s="147"/>
      <c r="E14" s="148">
        <f t="shared" si="0"/>
        <v>1768559.226</v>
      </c>
      <c r="F14" s="3" t="s">
        <v>292</v>
      </c>
      <c r="G14" s="3" t="s">
        <v>232</v>
      </c>
      <c r="H14" s="3" t="s">
        <v>305</v>
      </c>
    </row>
    <row r="15" spans="1:9">
      <c r="A15" s="12"/>
      <c r="B15" s="30" t="s">
        <v>280</v>
      </c>
      <c r="C15" s="148">
        <f>+D16-C14</f>
        <v>26932.374000000069</v>
      </c>
      <c r="D15" s="148"/>
      <c r="E15" s="148">
        <f t="shared" si="0"/>
        <v>26932.374000000069</v>
      </c>
      <c r="F15" s="3" t="s">
        <v>292</v>
      </c>
      <c r="G15" s="156" t="s">
        <v>228</v>
      </c>
      <c r="H15" s="3" t="s">
        <v>305</v>
      </c>
    </row>
    <row r="16" spans="1:9">
      <c r="A16" s="149"/>
      <c r="B16" s="154" t="s">
        <v>278</v>
      </c>
      <c r="C16" s="150"/>
      <c r="D16" s="150">
        <f>+C11/360*350</f>
        <v>1795491.6</v>
      </c>
      <c r="E16" s="148">
        <f t="shared" si="0"/>
        <v>-1795491.6</v>
      </c>
      <c r="F16" s="3" t="s">
        <v>292</v>
      </c>
      <c r="G16" s="156" t="s">
        <v>226</v>
      </c>
      <c r="H16" s="3" t="s">
        <v>305</v>
      </c>
      <c r="I16" s="15" t="s">
        <v>432</v>
      </c>
    </row>
    <row r="17" spans="1:9">
      <c r="A17" s="146"/>
      <c r="B17" s="152" t="s">
        <v>47</v>
      </c>
      <c r="C17" s="147">
        <f>+'Ach prévisionnel'!D10+('Consommations Q'!C26*Données!B35)+('Consommations Q'!C39*Données!B17)</f>
        <v>1217013.163767742</v>
      </c>
      <c r="D17" s="147"/>
      <c r="E17" s="148">
        <f t="shared" si="0"/>
        <v>1217013.163767742</v>
      </c>
      <c r="F17" s="3" t="s">
        <v>293</v>
      </c>
      <c r="H17" s="75"/>
    </row>
    <row r="18" spans="1:9">
      <c r="A18" s="12"/>
      <c r="B18" s="30" t="s">
        <v>303</v>
      </c>
      <c r="C18" s="153">
        <f>-TVA!C4-TVA!C7-TVA!C8</f>
        <v>204853.91363303227</v>
      </c>
      <c r="D18" s="148"/>
      <c r="E18" s="148">
        <f t="shared" si="0"/>
        <v>204853.91363303227</v>
      </c>
      <c r="F18" s="3" t="s">
        <v>292</v>
      </c>
      <c r="G18" s="156" t="s">
        <v>228</v>
      </c>
      <c r="H18" s="3" t="s">
        <v>305</v>
      </c>
    </row>
    <row r="19" spans="1:9">
      <c r="A19" s="149"/>
      <c r="B19" s="200" t="s">
        <v>281</v>
      </c>
      <c r="C19" s="150"/>
      <c r="D19" s="150">
        <f>+C17+C18</f>
        <v>1421867.0774007742</v>
      </c>
      <c r="E19" s="148">
        <f t="shared" si="0"/>
        <v>-1421867.0774007742</v>
      </c>
      <c r="F19" s="3" t="s">
        <v>292</v>
      </c>
      <c r="G19" s="156" t="s">
        <v>254</v>
      </c>
      <c r="H19" s="3" t="s">
        <v>306</v>
      </c>
    </row>
    <row r="20" spans="1:9">
      <c r="A20" s="146"/>
      <c r="B20" s="152" t="s">
        <v>36</v>
      </c>
      <c r="C20" s="147">
        <f>+D21</f>
        <v>40538.500870161297</v>
      </c>
      <c r="D20" s="147"/>
      <c r="E20" s="148">
        <f t="shared" si="0"/>
        <v>40538.500870161297</v>
      </c>
      <c r="F20" s="3" t="s">
        <v>292</v>
      </c>
      <c r="G20" s="156" t="s">
        <v>224</v>
      </c>
      <c r="H20" s="3" t="s">
        <v>305</v>
      </c>
    </row>
    <row r="21" spans="1:9">
      <c r="A21" s="149"/>
      <c r="B21" s="154" t="s">
        <v>294</v>
      </c>
      <c r="C21" s="150"/>
      <c r="D21" s="155">
        <f>+'Cout de production prévisionnel'!E10</f>
        <v>40538.500870161297</v>
      </c>
      <c r="E21" s="148">
        <f t="shared" si="0"/>
        <v>-40538.500870161297</v>
      </c>
      <c r="F21" s="3" t="s">
        <v>293</v>
      </c>
    </row>
    <row r="22" spans="1:9">
      <c r="A22" s="146"/>
      <c r="B22" s="152" t="s">
        <v>38</v>
      </c>
      <c r="C22" s="147">
        <f>+'Ach prévisionnel'!F10+'Ach prévisionnel'!F24+'Ach prévisionnel'!F37</f>
        <v>93616.397212903248</v>
      </c>
      <c r="D22" s="147"/>
      <c r="E22" s="148">
        <f t="shared" si="0"/>
        <v>93616.397212903248</v>
      </c>
      <c r="F22" s="3" t="s">
        <v>292</v>
      </c>
      <c r="G22" s="156" t="s">
        <v>224</v>
      </c>
      <c r="H22" s="3" t="s">
        <v>305</v>
      </c>
    </row>
    <row r="23" spans="1:9">
      <c r="A23" s="149"/>
      <c r="B23" s="154" t="s">
        <v>295</v>
      </c>
      <c r="C23" s="150"/>
      <c r="D23" s="150">
        <f>+C22</f>
        <v>93616.397212903248</v>
      </c>
      <c r="E23" s="148">
        <f t="shared" si="0"/>
        <v>-93616.397212903248</v>
      </c>
      <c r="F23" s="3" t="s">
        <v>293</v>
      </c>
      <c r="G23" s="11"/>
    </row>
    <row r="24" spans="1:9">
      <c r="A24" s="146"/>
      <c r="B24" s="201" t="s">
        <v>281</v>
      </c>
      <c r="C24" s="147">
        <f>+D19/13*11.5</f>
        <v>1257805.4915468388</v>
      </c>
      <c r="D24" s="147"/>
      <c r="E24" s="148">
        <f t="shared" si="0"/>
        <v>1257805.4915468388</v>
      </c>
      <c r="F24" s="3" t="s">
        <v>292</v>
      </c>
      <c r="G24" s="156" t="s">
        <v>254</v>
      </c>
      <c r="H24" s="3" t="s">
        <v>306</v>
      </c>
      <c r="I24" s="15" t="s">
        <v>320</v>
      </c>
    </row>
    <row r="25" spans="1:9">
      <c r="A25" s="12"/>
      <c r="B25" s="30" t="s">
        <v>274</v>
      </c>
      <c r="C25" s="148"/>
      <c r="D25" s="148">
        <f>+C24-D26</f>
        <v>1238938.4091736362</v>
      </c>
      <c r="E25" s="148">
        <f t="shared" si="0"/>
        <v>-1238938.4091736362</v>
      </c>
      <c r="F25" s="3" t="s">
        <v>292</v>
      </c>
      <c r="G25" s="3" t="s">
        <v>232</v>
      </c>
      <c r="H25" s="3" t="s">
        <v>305</v>
      </c>
    </row>
    <row r="26" spans="1:9">
      <c r="A26" s="12"/>
      <c r="B26" s="203" t="s">
        <v>282</v>
      </c>
      <c r="C26" s="148"/>
      <c r="D26" s="148">
        <f>+C24*0.015</f>
        <v>18867.082373202582</v>
      </c>
      <c r="E26" s="148">
        <f t="shared" si="0"/>
        <v>-18867.082373202582</v>
      </c>
      <c r="F26" s="3" t="s">
        <v>292</v>
      </c>
      <c r="G26" s="3" t="s">
        <v>255</v>
      </c>
      <c r="H26" s="3" t="s">
        <v>306</v>
      </c>
    </row>
    <row r="27" spans="1:9">
      <c r="A27" s="158"/>
      <c r="B27" s="204" t="s">
        <v>282</v>
      </c>
      <c r="C27" s="160">
        <f>+D26/12*11</f>
        <v>17294.825508769034</v>
      </c>
      <c r="D27" s="160"/>
      <c r="E27" s="148">
        <f t="shared" si="0"/>
        <v>17294.825508769034</v>
      </c>
      <c r="F27" s="3" t="s">
        <v>292</v>
      </c>
      <c r="G27" s="3" t="s">
        <v>255</v>
      </c>
      <c r="H27" s="3" t="s">
        <v>306</v>
      </c>
    </row>
    <row r="28" spans="1:9">
      <c r="A28" s="161"/>
      <c r="B28" s="162" t="s">
        <v>274</v>
      </c>
      <c r="C28" s="163"/>
      <c r="D28" s="163">
        <f>+C27</f>
        <v>17294.825508769034</v>
      </c>
      <c r="E28" s="148">
        <f t="shared" si="0"/>
        <v>-17294.825508769034</v>
      </c>
      <c r="F28" s="3" t="s">
        <v>292</v>
      </c>
      <c r="G28" s="3" t="s">
        <v>232</v>
      </c>
      <c r="H28" s="3" t="s">
        <v>305</v>
      </c>
    </row>
    <row r="29" spans="1:9">
      <c r="A29" s="158"/>
      <c r="B29" s="159" t="s">
        <v>283</v>
      </c>
      <c r="C29" s="160">
        <f>+'Ach prévisionnel'!C47</f>
        <v>48396</v>
      </c>
      <c r="D29" s="160"/>
      <c r="E29" s="148">
        <f t="shared" si="0"/>
        <v>48396</v>
      </c>
      <c r="F29" s="3" t="s">
        <v>293</v>
      </c>
    </row>
    <row r="30" spans="1:9">
      <c r="A30" s="12"/>
      <c r="B30" s="30" t="s">
        <v>303</v>
      </c>
      <c r="C30" s="153">
        <f>-TVA!C9</f>
        <v>8711.2799999999988</v>
      </c>
      <c r="D30" s="148"/>
      <c r="E30" s="148">
        <f t="shared" si="0"/>
        <v>8711.2799999999988</v>
      </c>
      <c r="F30" s="3" t="s">
        <v>292</v>
      </c>
      <c r="G30" s="156" t="s">
        <v>228</v>
      </c>
      <c r="H30" s="3" t="s">
        <v>305</v>
      </c>
    </row>
    <row r="31" spans="1:9">
      <c r="A31" s="12"/>
      <c r="B31" s="202" t="s">
        <v>281</v>
      </c>
      <c r="C31" s="148"/>
      <c r="D31" s="148">
        <f>+(C29+C30-(D32+D33))</f>
        <v>1522.8608000000022</v>
      </c>
      <c r="E31" s="148">
        <f t="shared" si="0"/>
        <v>-1522.8608000000022</v>
      </c>
      <c r="F31" s="3" t="s">
        <v>292</v>
      </c>
      <c r="G31" s="156" t="s">
        <v>254</v>
      </c>
      <c r="H31" s="3" t="s">
        <v>314</v>
      </c>
    </row>
    <row r="32" spans="1:9">
      <c r="A32" s="12"/>
      <c r="B32" s="30" t="s">
        <v>274</v>
      </c>
      <c r="C32" s="148"/>
      <c r="D32" s="148">
        <f>+(C29+C30)/12*11.5</f>
        <v>54727.81</v>
      </c>
      <c r="E32" s="148">
        <f t="shared" si="0"/>
        <v>-54727.81</v>
      </c>
      <c r="F32" s="3" t="s">
        <v>292</v>
      </c>
      <c r="G32" s="3" t="s">
        <v>232</v>
      </c>
      <c r="H32" s="3" t="s">
        <v>305</v>
      </c>
      <c r="I32" s="15" t="s">
        <v>321</v>
      </c>
    </row>
    <row r="33" spans="1:9">
      <c r="A33" s="161"/>
      <c r="B33" s="203" t="s">
        <v>282</v>
      </c>
      <c r="C33" s="163"/>
      <c r="D33" s="163">
        <f>+(C29+C30)*0.015</f>
        <v>856.60919999999999</v>
      </c>
      <c r="E33" s="148">
        <f t="shared" si="0"/>
        <v>-856.60919999999999</v>
      </c>
      <c r="F33" s="3" t="s">
        <v>292</v>
      </c>
      <c r="G33" s="156" t="s">
        <v>255</v>
      </c>
      <c r="H33" s="3" t="s">
        <v>314</v>
      </c>
    </row>
    <row r="34" spans="1:9">
      <c r="A34" s="158"/>
      <c r="B34" s="159" t="s">
        <v>284</v>
      </c>
      <c r="C34" s="147">
        <f>+TVA!B12</f>
        <v>389067.9</v>
      </c>
      <c r="D34" s="147"/>
      <c r="E34" s="148">
        <f t="shared" si="0"/>
        <v>389067.9</v>
      </c>
      <c r="F34" s="3" t="s">
        <v>292</v>
      </c>
      <c r="G34" s="156" t="s">
        <v>216</v>
      </c>
      <c r="H34" s="3" t="s">
        <v>305</v>
      </c>
    </row>
    <row r="35" spans="1:9">
      <c r="A35" s="12"/>
      <c r="B35" s="30" t="s">
        <v>303</v>
      </c>
      <c r="C35" s="153">
        <f>-TVA!C12</f>
        <v>39587.093999999997</v>
      </c>
      <c r="D35" s="148"/>
      <c r="E35" s="148">
        <f t="shared" si="0"/>
        <v>39587.093999999997</v>
      </c>
      <c r="F35" s="3" t="s">
        <v>292</v>
      </c>
      <c r="G35" s="156" t="s">
        <v>228</v>
      </c>
      <c r="H35" s="3" t="s">
        <v>305</v>
      </c>
    </row>
    <row r="36" spans="1:9">
      <c r="A36" s="161"/>
      <c r="B36" s="162" t="s">
        <v>274</v>
      </c>
      <c r="C36" s="148"/>
      <c r="D36" s="163">
        <f>+C35+C34</f>
        <v>428654.99400000001</v>
      </c>
      <c r="E36" s="148">
        <f t="shared" si="0"/>
        <v>-428654.99400000001</v>
      </c>
      <c r="F36" s="3" t="s">
        <v>292</v>
      </c>
      <c r="G36" s="3" t="s">
        <v>232</v>
      </c>
      <c r="H36" s="3" t="s">
        <v>305</v>
      </c>
    </row>
    <row r="37" spans="1:9">
      <c r="A37" s="12"/>
      <c r="B37" s="30" t="s">
        <v>304</v>
      </c>
      <c r="C37" s="147">
        <f>+TVA!B15</f>
        <v>20500</v>
      </c>
      <c r="D37" s="148"/>
      <c r="E37" s="148">
        <f t="shared" si="0"/>
        <v>20500</v>
      </c>
      <c r="F37" s="3" t="s">
        <v>292</v>
      </c>
      <c r="G37" s="156" t="s">
        <v>221</v>
      </c>
      <c r="H37" s="3" t="s">
        <v>305</v>
      </c>
    </row>
    <row r="38" spans="1:9">
      <c r="A38" s="12"/>
      <c r="B38" s="30" t="s">
        <v>303</v>
      </c>
      <c r="C38" s="153">
        <f>-TVA!C15</f>
        <v>3690</v>
      </c>
      <c r="D38" s="148"/>
      <c r="E38" s="148">
        <f t="shared" si="0"/>
        <v>3690</v>
      </c>
      <c r="F38" s="3" t="s">
        <v>292</v>
      </c>
      <c r="G38" s="156" t="s">
        <v>228</v>
      </c>
      <c r="H38" s="3" t="s">
        <v>305</v>
      </c>
    </row>
    <row r="39" spans="1:9">
      <c r="A39" s="12"/>
      <c r="B39" s="30" t="s">
        <v>274</v>
      </c>
      <c r="C39" s="148"/>
      <c r="D39" s="148">
        <f>+C37+C38</f>
        <v>24190</v>
      </c>
      <c r="E39" s="148">
        <f t="shared" si="0"/>
        <v>-24190</v>
      </c>
      <c r="F39" s="3" t="s">
        <v>292</v>
      </c>
      <c r="G39" s="3" t="s">
        <v>232</v>
      </c>
      <c r="H39" s="3" t="s">
        <v>305</v>
      </c>
    </row>
    <row r="40" spans="1:9">
      <c r="A40" s="146"/>
      <c r="B40" s="152" t="s">
        <v>154</v>
      </c>
      <c r="C40" s="147">
        <f>+'Autres charges'!C16+'Achat carton'!F10</f>
        <v>230199.49679999999</v>
      </c>
      <c r="D40" s="147"/>
      <c r="E40" s="148">
        <f t="shared" si="0"/>
        <v>230199.49679999999</v>
      </c>
      <c r="F40" s="3" t="s">
        <v>293</v>
      </c>
    </row>
    <row r="41" spans="1:9">
      <c r="A41" s="12"/>
      <c r="B41" s="30" t="s">
        <v>303</v>
      </c>
      <c r="C41" s="148">
        <f>-TVA!C11-TVA!C10</f>
        <v>35563.160880000003</v>
      </c>
      <c r="D41" s="148"/>
      <c r="E41" s="148">
        <f t="shared" si="0"/>
        <v>35563.160880000003</v>
      </c>
      <c r="F41" s="3" t="s">
        <v>292</v>
      </c>
      <c r="G41" s="156" t="s">
        <v>228</v>
      </c>
      <c r="H41" s="3" t="s">
        <v>305</v>
      </c>
    </row>
    <row r="42" spans="1:9">
      <c r="A42" s="12"/>
      <c r="B42" s="202" t="s">
        <v>281</v>
      </c>
      <c r="C42" s="148"/>
      <c r="D42" s="148">
        <f>+C40+C41-D43</f>
        <v>11073.444070000027</v>
      </c>
      <c r="E42" s="148">
        <f t="shared" si="0"/>
        <v>-11073.444070000027</v>
      </c>
      <c r="F42" s="3" t="s">
        <v>292</v>
      </c>
      <c r="G42" s="156" t="s">
        <v>254</v>
      </c>
      <c r="H42" s="3" t="s">
        <v>314</v>
      </c>
    </row>
    <row r="43" spans="1:9">
      <c r="A43" s="149"/>
      <c r="B43" s="154" t="s">
        <v>274</v>
      </c>
      <c r="C43" s="150"/>
      <c r="D43" s="150">
        <f>+(C40+C41)/12*11.5</f>
        <v>254689.21360999998</v>
      </c>
      <c r="E43" s="148">
        <f t="shared" si="0"/>
        <v>-254689.21360999998</v>
      </c>
      <c r="F43" s="3" t="s">
        <v>292</v>
      </c>
      <c r="G43" s="3" t="s">
        <v>232</v>
      </c>
      <c r="H43" s="3" t="s">
        <v>305</v>
      </c>
      <c r="I43" s="15" t="s">
        <v>321</v>
      </c>
    </row>
    <row r="44" spans="1:9">
      <c r="A44" s="146"/>
      <c r="B44" s="152" t="s">
        <v>288</v>
      </c>
      <c r="C44" s="147">
        <f>+Investissements!F11</f>
        <v>55789.440000000002</v>
      </c>
      <c r="D44" s="147"/>
      <c r="E44" s="148">
        <f t="shared" si="0"/>
        <v>55789.440000000002</v>
      </c>
      <c r="F44" s="3" t="s">
        <v>293</v>
      </c>
    </row>
    <row r="45" spans="1:9">
      <c r="A45" s="12"/>
      <c r="B45" s="30" t="s">
        <v>304</v>
      </c>
      <c r="C45" s="148"/>
      <c r="D45" s="148">
        <f>+Investissements!F10</f>
        <v>6832.65</v>
      </c>
      <c r="E45" s="148">
        <f t="shared" si="0"/>
        <v>-6832.65</v>
      </c>
      <c r="F45" s="3" t="s">
        <v>292</v>
      </c>
      <c r="G45" s="156" t="s">
        <v>221</v>
      </c>
      <c r="H45" s="3" t="s">
        <v>305</v>
      </c>
    </row>
    <row r="46" spans="1:9">
      <c r="A46" s="149"/>
      <c r="B46" s="154" t="s">
        <v>289</v>
      </c>
      <c r="C46" s="150"/>
      <c r="D46" s="150">
        <f>+SUM(Investissements!F5:F9)</f>
        <v>48956.79</v>
      </c>
      <c r="E46" s="148">
        <f t="shared" si="0"/>
        <v>-48956.79</v>
      </c>
      <c r="F46" s="3" t="s">
        <v>292</v>
      </c>
      <c r="G46" s="156" t="s">
        <v>217</v>
      </c>
      <c r="H46" s="3" t="s">
        <v>305</v>
      </c>
    </row>
    <row r="47" spans="1:9">
      <c r="A47" s="146"/>
      <c r="B47" s="152" t="s">
        <v>152</v>
      </c>
      <c r="C47" s="147">
        <f>+SALAIRE!C19</f>
        <v>158468.04</v>
      </c>
      <c r="D47" s="147"/>
      <c r="E47" s="148">
        <f t="shared" si="0"/>
        <v>158468.04</v>
      </c>
      <c r="F47" s="3" t="s">
        <v>293</v>
      </c>
    </row>
    <row r="48" spans="1:9">
      <c r="A48" s="12"/>
      <c r="B48" s="30" t="s">
        <v>107</v>
      </c>
      <c r="C48" s="148"/>
      <c r="D48" s="148">
        <f>+SALAIRE!C18/4</f>
        <v>6317.01</v>
      </c>
      <c r="E48" s="148">
        <f t="shared" si="0"/>
        <v>-6317.01</v>
      </c>
      <c r="F48" s="3" t="s">
        <v>292</v>
      </c>
      <c r="G48" s="156" t="s">
        <v>255</v>
      </c>
      <c r="H48" s="3" t="s">
        <v>306</v>
      </c>
    </row>
    <row r="49" spans="1:8">
      <c r="A49" s="149"/>
      <c r="B49" s="154" t="s">
        <v>274</v>
      </c>
      <c r="C49" s="150"/>
      <c r="D49" s="150">
        <f>+C47-D48</f>
        <v>152151.03</v>
      </c>
      <c r="E49" s="148">
        <f t="shared" si="0"/>
        <v>-152151.03</v>
      </c>
      <c r="F49" s="3" t="s">
        <v>292</v>
      </c>
      <c r="G49" s="3" t="s">
        <v>232</v>
      </c>
      <c r="H49" s="3" t="s">
        <v>305</v>
      </c>
    </row>
    <row r="50" spans="1:8">
      <c r="A50" s="146"/>
      <c r="B50" s="152" t="s">
        <v>290</v>
      </c>
      <c r="C50" s="147">
        <f>-'P&amp;L'!C35</f>
        <v>32921.189378830662</v>
      </c>
      <c r="D50" s="147"/>
      <c r="E50" s="148">
        <f t="shared" si="0"/>
        <v>32921.189378830662</v>
      </c>
      <c r="F50" s="3" t="s">
        <v>293</v>
      </c>
    </row>
    <row r="51" spans="1:8">
      <c r="A51" s="12"/>
      <c r="B51" s="30" t="s">
        <v>280</v>
      </c>
      <c r="C51" s="148"/>
      <c r="D51" s="148">
        <f>+C15</f>
        <v>26932.374000000069</v>
      </c>
      <c r="E51" s="148">
        <f t="shared" si="0"/>
        <v>-26932.374000000069</v>
      </c>
      <c r="F51" s="3" t="s">
        <v>292</v>
      </c>
      <c r="G51" s="156" t="s">
        <v>228</v>
      </c>
      <c r="H51" s="3" t="s">
        <v>305</v>
      </c>
    </row>
    <row r="52" spans="1:8">
      <c r="A52" s="12"/>
      <c r="B52" s="30" t="s">
        <v>291</v>
      </c>
      <c r="C52" s="148"/>
      <c r="D52" s="148">
        <f>+C50-D51</f>
        <v>5988.8153788305935</v>
      </c>
      <c r="E52" s="148">
        <f t="shared" si="0"/>
        <v>-5988.8153788305935</v>
      </c>
      <c r="F52" s="3" t="s">
        <v>292</v>
      </c>
      <c r="G52" s="156" t="s">
        <v>255</v>
      </c>
      <c r="H52" s="3" t="s">
        <v>306</v>
      </c>
    </row>
    <row r="53" spans="1:8">
      <c r="A53" s="158"/>
      <c r="B53" s="159" t="s">
        <v>302</v>
      </c>
      <c r="C53" s="160">
        <f>+D13</f>
        <v>104535.36</v>
      </c>
      <c r="D53" s="160"/>
      <c r="E53" s="148">
        <f t="shared" si="0"/>
        <v>104535.36</v>
      </c>
      <c r="F53" s="3" t="s">
        <v>292</v>
      </c>
      <c r="G53" s="156" t="s">
        <v>255</v>
      </c>
      <c r="H53" s="3" t="s">
        <v>306</v>
      </c>
    </row>
    <row r="54" spans="1:8">
      <c r="A54" s="12"/>
      <c r="B54" s="30" t="s">
        <v>303</v>
      </c>
      <c r="C54" s="148"/>
      <c r="D54" s="148">
        <f>+C18+C30+C35+C38+C41</f>
        <v>292405.44851303223</v>
      </c>
      <c r="E54" s="148">
        <f t="shared" si="0"/>
        <v>-292405.44851303223</v>
      </c>
      <c r="F54" s="3" t="s">
        <v>292</v>
      </c>
      <c r="G54" s="156" t="s">
        <v>228</v>
      </c>
      <c r="H54" s="3" t="s">
        <v>305</v>
      </c>
    </row>
    <row r="55" spans="1:8">
      <c r="A55" s="161"/>
      <c r="B55" s="162" t="s">
        <v>318</v>
      </c>
      <c r="C55" s="163">
        <f>+D54-C53</f>
        <v>187870.08851303224</v>
      </c>
      <c r="D55" s="163"/>
      <c r="E55" s="148">
        <f t="shared" si="0"/>
        <v>187870.08851303224</v>
      </c>
      <c r="F55" s="3" t="s">
        <v>292</v>
      </c>
      <c r="G55" s="156" t="s">
        <v>228</v>
      </c>
      <c r="H55" s="3" t="s">
        <v>305</v>
      </c>
    </row>
    <row r="56" spans="1:8">
      <c r="A56" s="158"/>
      <c r="B56" s="159"/>
      <c r="C56" s="160"/>
      <c r="D56" s="160"/>
      <c r="E56" s="148">
        <f t="shared" si="0"/>
        <v>0</v>
      </c>
    </row>
    <row r="57" spans="1:8">
      <c r="A57" s="161"/>
      <c r="B57" s="162"/>
      <c r="C57" s="163"/>
      <c r="D57" s="163"/>
      <c r="E57" s="148">
        <f t="shared" si="0"/>
        <v>0</v>
      </c>
      <c r="F57" s="3" t="s">
        <v>292</v>
      </c>
      <c r="G57" s="156" t="s">
        <v>255</v>
      </c>
      <c r="H57" s="3" t="s">
        <v>306</v>
      </c>
    </row>
    <row r="58" spans="1:8">
      <c r="A58" s="12"/>
      <c r="B58" s="30"/>
      <c r="C58" s="148"/>
      <c r="D58" s="148"/>
      <c r="E58" s="148"/>
    </row>
    <row r="59" spans="1:8">
      <c r="C59" s="183">
        <f>+SUBTOTAL(9,C9:C57)</f>
        <v>7823564.3021113109</v>
      </c>
      <c r="D59" s="183">
        <f>+SUBTOTAL(9,D9:D57)</f>
        <v>7823564.302111309</v>
      </c>
    </row>
    <row r="61" spans="1:8">
      <c r="B61" s="3" t="s">
        <v>441</v>
      </c>
      <c r="D61" s="275">
        <f>+D59-C59</f>
        <v>0</v>
      </c>
    </row>
    <row r="62" spans="1:8">
      <c r="B62" s="3" t="s">
        <v>442</v>
      </c>
    </row>
    <row r="67" spans="3:3">
      <c r="C67" s="157"/>
    </row>
  </sheetData>
  <autoFilter ref="A2:I67"/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2:T45"/>
  <sheetViews>
    <sheetView workbookViewId="0">
      <pane ySplit="2" topLeftCell="A28" activePane="bottomLeft" state="frozen"/>
      <selection pane="bottomLeft" activeCell="B40" sqref="B40:J45"/>
    </sheetView>
  </sheetViews>
  <sheetFormatPr baseColWidth="10" defaultRowHeight="12"/>
  <cols>
    <col min="1" max="1" width="3.140625" style="207" bestFit="1" customWidth="1"/>
    <col min="2" max="3" width="20.28515625" style="208" bestFit="1" customWidth="1"/>
    <col min="4" max="4" width="13.28515625" style="208" bestFit="1" customWidth="1"/>
    <col min="5" max="5" width="12.7109375" style="208" bestFit="1" customWidth="1"/>
    <col min="6" max="6" width="8.7109375" style="208" bestFit="1" customWidth="1"/>
    <col min="7" max="7" width="9.7109375" style="208" bestFit="1" customWidth="1"/>
    <col min="8" max="8" width="13.28515625" style="208" bestFit="1" customWidth="1"/>
    <col min="9" max="9" width="11.42578125" style="207"/>
    <col min="10" max="10" width="21" style="207" customWidth="1"/>
    <col min="11" max="11" width="18.7109375" style="207" customWidth="1"/>
    <col min="12" max="12" width="17.140625" style="207" bestFit="1" customWidth="1"/>
    <col min="13" max="17" width="8" style="207" customWidth="1"/>
    <col min="18" max="19" width="7" style="207" customWidth="1"/>
    <col min="20" max="20" width="12.5703125" style="207" bestFit="1" customWidth="1"/>
    <col min="21" max="16384" width="11.42578125" style="207"/>
  </cols>
  <sheetData>
    <row r="2" spans="1:20" s="213" customFormat="1" ht="12.75" thickBot="1">
      <c r="A2" s="209" t="s">
        <v>187</v>
      </c>
      <c r="B2" s="210" t="s">
        <v>188</v>
      </c>
      <c r="C2" s="210" t="s">
        <v>166</v>
      </c>
      <c r="D2" s="211" t="s">
        <v>189</v>
      </c>
      <c r="E2" s="211" t="s">
        <v>190</v>
      </c>
      <c r="F2" s="211" t="s">
        <v>191</v>
      </c>
      <c r="G2" s="211" t="s">
        <v>192</v>
      </c>
      <c r="H2" s="212" t="s">
        <v>193</v>
      </c>
    </row>
    <row r="3" spans="1:20" ht="12.75">
      <c r="A3" s="214">
        <v>1</v>
      </c>
      <c r="B3" s="215">
        <v>42370</v>
      </c>
      <c r="C3" s="216">
        <f>+YEAR(B3)</f>
        <v>2016</v>
      </c>
      <c r="D3" s="217">
        <v>420000</v>
      </c>
      <c r="E3" s="218">
        <f>+F3+G3</f>
        <v>8715</v>
      </c>
      <c r="F3" s="218">
        <v>0</v>
      </c>
      <c r="G3" s="218">
        <f>+(D3)*($L$4/4)</f>
        <v>8715</v>
      </c>
      <c r="H3" s="218">
        <f>+D3-F3</f>
        <v>420000</v>
      </c>
      <c r="K3" s="207" t="s">
        <v>351</v>
      </c>
      <c r="L3" s="108">
        <v>420000</v>
      </c>
    </row>
    <row r="4" spans="1:20" ht="12.75">
      <c r="A4" s="214">
        <v>2</v>
      </c>
      <c r="B4" s="215">
        <f>+B3+90</f>
        <v>42460</v>
      </c>
      <c r="C4" s="216">
        <f t="shared" ref="C4:C30" si="0">+YEAR(B4)</f>
        <v>2016</v>
      </c>
      <c r="D4" s="217">
        <f>+D3-F3</f>
        <v>420000</v>
      </c>
      <c r="E4" s="218">
        <f t="shared" ref="E4:E30" si="1">+F4+G4</f>
        <v>8715</v>
      </c>
      <c r="F4" s="218">
        <v>0</v>
      </c>
      <c r="G4" s="218">
        <f t="shared" ref="G4:G30" si="2">+(D4)*($L$4/4)</f>
        <v>8715</v>
      </c>
      <c r="H4" s="218">
        <f t="shared" ref="H4:H26" si="3">+D4-F4</f>
        <v>420000</v>
      </c>
      <c r="K4" s="207" t="s">
        <v>352</v>
      </c>
      <c r="L4" s="109">
        <v>8.3000000000000004E-2</v>
      </c>
    </row>
    <row r="5" spans="1:20" ht="12.75">
      <c r="A5" s="214">
        <v>3</v>
      </c>
      <c r="B5" s="215">
        <f t="shared" ref="B5:B30" si="4">+B4+90</f>
        <v>42550</v>
      </c>
      <c r="C5" s="216">
        <f t="shared" si="0"/>
        <v>2016</v>
      </c>
      <c r="D5" s="217">
        <f t="shared" ref="D5:D10" si="5">+D4-F4</f>
        <v>420000</v>
      </c>
      <c r="E5" s="218">
        <f t="shared" si="1"/>
        <v>8715</v>
      </c>
      <c r="F5" s="218">
        <v>0</v>
      </c>
      <c r="G5" s="218">
        <f t="shared" si="2"/>
        <v>8715</v>
      </c>
      <c r="H5" s="218">
        <f t="shared" si="3"/>
        <v>420000</v>
      </c>
      <c r="K5" s="207" t="s">
        <v>353</v>
      </c>
      <c r="L5" s="110">
        <v>7</v>
      </c>
    </row>
    <row r="6" spans="1:20" ht="13.5" thickBot="1">
      <c r="A6" s="214">
        <v>4</v>
      </c>
      <c r="B6" s="215">
        <f t="shared" si="4"/>
        <v>42640</v>
      </c>
      <c r="C6" s="216">
        <f t="shared" si="0"/>
        <v>2016</v>
      </c>
      <c r="D6" s="217">
        <f t="shared" si="5"/>
        <v>420000</v>
      </c>
      <c r="E6" s="218">
        <f t="shared" si="1"/>
        <v>8715</v>
      </c>
      <c r="F6" s="218">
        <v>0</v>
      </c>
      <c r="G6" s="218">
        <f t="shared" si="2"/>
        <v>8715</v>
      </c>
      <c r="H6" s="218">
        <f t="shared" si="3"/>
        <v>420000</v>
      </c>
      <c r="K6" s="207" t="s">
        <v>354</v>
      </c>
      <c r="L6" s="111">
        <v>42370</v>
      </c>
    </row>
    <row r="7" spans="1:20">
      <c r="A7" s="214">
        <v>5</v>
      </c>
      <c r="B7" s="215">
        <f>+B6+90</f>
        <v>42730</v>
      </c>
      <c r="C7" s="216">
        <v>2017</v>
      </c>
      <c r="D7" s="217">
        <f>+D6-F6</f>
        <v>420000</v>
      </c>
      <c r="E7" s="218">
        <f t="shared" si="1"/>
        <v>26215</v>
      </c>
      <c r="F7" s="218">
        <f>+($D$3/24)</f>
        <v>17500</v>
      </c>
      <c r="G7" s="218">
        <f>+(D7)*($L$4/4)</f>
        <v>8715</v>
      </c>
      <c r="H7" s="218">
        <f t="shared" si="3"/>
        <v>402500</v>
      </c>
    </row>
    <row r="8" spans="1:20">
      <c r="A8" s="214">
        <v>6</v>
      </c>
      <c r="B8" s="215">
        <f t="shared" si="4"/>
        <v>42820</v>
      </c>
      <c r="C8" s="216">
        <f t="shared" si="0"/>
        <v>2017</v>
      </c>
      <c r="D8" s="217">
        <f t="shared" si="5"/>
        <v>402500</v>
      </c>
      <c r="E8" s="218">
        <f t="shared" si="1"/>
        <v>25851.875</v>
      </c>
      <c r="F8" s="218">
        <f t="shared" ref="F8:F30" si="6">+($D$3/24)</f>
        <v>17500</v>
      </c>
      <c r="G8" s="218">
        <f t="shared" si="2"/>
        <v>8351.875</v>
      </c>
      <c r="H8" s="218">
        <f t="shared" si="3"/>
        <v>385000</v>
      </c>
    </row>
    <row r="9" spans="1:20">
      <c r="A9" s="214">
        <v>7</v>
      </c>
      <c r="B9" s="215">
        <f t="shared" si="4"/>
        <v>42910</v>
      </c>
      <c r="C9" s="216">
        <f t="shared" si="0"/>
        <v>2017</v>
      </c>
      <c r="D9" s="217">
        <f t="shared" si="5"/>
        <v>385000</v>
      </c>
      <c r="E9" s="218">
        <f t="shared" si="1"/>
        <v>25488.75</v>
      </c>
      <c r="F9" s="218">
        <f t="shared" si="6"/>
        <v>17500</v>
      </c>
      <c r="G9" s="218">
        <f t="shared" si="2"/>
        <v>7988.75</v>
      </c>
      <c r="H9" s="218">
        <f t="shared" si="3"/>
        <v>367500</v>
      </c>
    </row>
    <row r="10" spans="1:20">
      <c r="A10" s="214">
        <v>8</v>
      </c>
      <c r="B10" s="215">
        <f t="shared" si="4"/>
        <v>43000</v>
      </c>
      <c r="C10" s="216">
        <f t="shared" si="0"/>
        <v>2017</v>
      </c>
      <c r="D10" s="217">
        <f t="shared" si="5"/>
        <v>367500</v>
      </c>
      <c r="E10" s="218">
        <f t="shared" si="1"/>
        <v>25125.625</v>
      </c>
      <c r="F10" s="218">
        <f t="shared" si="6"/>
        <v>17500</v>
      </c>
      <c r="G10" s="218">
        <f t="shared" si="2"/>
        <v>7625.625</v>
      </c>
      <c r="H10" s="218">
        <f t="shared" si="3"/>
        <v>350000</v>
      </c>
    </row>
    <row r="11" spans="1:20" ht="15">
      <c r="A11" s="219">
        <v>9</v>
      </c>
      <c r="B11" s="220">
        <f>+B10+90</f>
        <v>43090</v>
      </c>
      <c r="C11" s="221">
        <v>2018</v>
      </c>
      <c r="D11" s="222">
        <f>+D10-F10</f>
        <v>350000</v>
      </c>
      <c r="E11" s="223">
        <f>+F11+G11</f>
        <v>24762.5</v>
      </c>
      <c r="F11" s="218">
        <f t="shared" si="6"/>
        <v>17500</v>
      </c>
      <c r="G11" s="223">
        <f>+(D11)*($L$4/4)</f>
        <v>7262.5</v>
      </c>
      <c r="H11" s="223">
        <f>+D11-F11</f>
        <v>332500</v>
      </c>
      <c r="K11"/>
      <c r="L11"/>
      <c r="M11"/>
    </row>
    <row r="12" spans="1:20" ht="15">
      <c r="A12" s="214">
        <v>10</v>
      </c>
      <c r="B12" s="215">
        <f t="shared" si="4"/>
        <v>43180</v>
      </c>
      <c r="C12" s="216">
        <f t="shared" si="0"/>
        <v>2018</v>
      </c>
      <c r="D12" s="224">
        <f>+H11</f>
        <v>332500</v>
      </c>
      <c r="E12" s="218">
        <f t="shared" si="1"/>
        <v>24399.375</v>
      </c>
      <c r="F12" s="218">
        <f t="shared" si="6"/>
        <v>17500</v>
      </c>
      <c r="G12" s="218">
        <f>+(D12)*($L$4/4)</f>
        <v>6899.375</v>
      </c>
      <c r="H12" s="218">
        <f t="shared" si="3"/>
        <v>315000</v>
      </c>
      <c r="J12"/>
      <c r="K12"/>
      <c r="L12"/>
      <c r="M12"/>
      <c r="N12"/>
      <c r="O12"/>
      <c r="P12"/>
      <c r="Q12"/>
      <c r="R12"/>
      <c r="S12"/>
      <c r="T12"/>
    </row>
    <row r="13" spans="1:20" ht="15">
      <c r="A13" s="214">
        <v>11</v>
      </c>
      <c r="B13" s="215">
        <f t="shared" si="4"/>
        <v>43270</v>
      </c>
      <c r="C13" s="216">
        <f t="shared" si="0"/>
        <v>2018</v>
      </c>
      <c r="D13" s="224">
        <f t="shared" ref="D13:D30" si="7">+H12</f>
        <v>315000</v>
      </c>
      <c r="E13" s="218">
        <f t="shared" si="1"/>
        <v>24036.25</v>
      </c>
      <c r="F13" s="218">
        <f t="shared" si="6"/>
        <v>17500</v>
      </c>
      <c r="G13" s="218">
        <f t="shared" si="2"/>
        <v>6536.25</v>
      </c>
      <c r="H13" s="218">
        <f t="shared" si="3"/>
        <v>297500</v>
      </c>
      <c r="J13"/>
      <c r="K13"/>
      <c r="L13"/>
      <c r="M13"/>
      <c r="N13"/>
      <c r="O13"/>
      <c r="P13"/>
      <c r="Q13"/>
      <c r="R13"/>
      <c r="S13"/>
      <c r="T13"/>
    </row>
    <row r="14" spans="1:20" ht="15">
      <c r="A14" s="214">
        <v>12</v>
      </c>
      <c r="B14" s="215">
        <f t="shared" si="4"/>
        <v>43360</v>
      </c>
      <c r="C14" s="216">
        <f t="shared" si="0"/>
        <v>2018</v>
      </c>
      <c r="D14" s="224">
        <f t="shared" si="7"/>
        <v>297500</v>
      </c>
      <c r="E14" s="218">
        <f t="shared" si="1"/>
        <v>23673.125</v>
      </c>
      <c r="F14" s="218">
        <f t="shared" si="6"/>
        <v>17500</v>
      </c>
      <c r="G14" s="218">
        <f t="shared" si="2"/>
        <v>6173.125</v>
      </c>
      <c r="H14" s="218">
        <f t="shared" si="3"/>
        <v>280000</v>
      </c>
      <c r="J14" s="225"/>
      <c r="K14" s="191"/>
      <c r="L14" s="191"/>
      <c r="M14"/>
      <c r="N14"/>
      <c r="O14"/>
      <c r="P14"/>
      <c r="Q14"/>
      <c r="R14"/>
      <c r="S14"/>
      <c r="T14"/>
    </row>
    <row r="15" spans="1:20" ht="15">
      <c r="A15" s="214">
        <v>13</v>
      </c>
      <c r="B15" s="215">
        <f t="shared" si="4"/>
        <v>43450</v>
      </c>
      <c r="C15" s="216">
        <v>2019</v>
      </c>
      <c r="D15" s="224">
        <f t="shared" si="7"/>
        <v>280000</v>
      </c>
      <c r="E15" s="218">
        <f t="shared" si="1"/>
        <v>23310</v>
      </c>
      <c r="F15" s="218">
        <f t="shared" si="6"/>
        <v>17500</v>
      </c>
      <c r="G15" s="218">
        <f t="shared" si="2"/>
        <v>5810</v>
      </c>
      <c r="H15" s="218">
        <f t="shared" si="3"/>
        <v>262500</v>
      </c>
      <c r="J15"/>
      <c r="K15" s="112" t="s">
        <v>14</v>
      </c>
      <c r="L15"/>
      <c r="M15"/>
    </row>
    <row r="16" spans="1:20" ht="15">
      <c r="A16" s="214">
        <v>14</v>
      </c>
      <c r="B16" s="215">
        <f t="shared" si="4"/>
        <v>43540</v>
      </c>
      <c r="C16" s="216">
        <f t="shared" si="0"/>
        <v>2019</v>
      </c>
      <c r="D16" s="224">
        <f t="shared" si="7"/>
        <v>262500</v>
      </c>
      <c r="E16" s="218">
        <f t="shared" si="1"/>
        <v>22946.875</v>
      </c>
      <c r="F16" s="218">
        <f t="shared" si="6"/>
        <v>17500</v>
      </c>
      <c r="G16" s="218">
        <f t="shared" si="2"/>
        <v>5446.875</v>
      </c>
      <c r="H16" s="218">
        <f t="shared" si="3"/>
        <v>245000</v>
      </c>
      <c r="J16" s="112" t="s">
        <v>194</v>
      </c>
      <c r="K16" t="s">
        <v>198</v>
      </c>
      <c r="L16" t="s">
        <v>196</v>
      </c>
      <c r="M16"/>
    </row>
    <row r="17" spans="1:13" ht="15">
      <c r="A17" s="214">
        <v>15</v>
      </c>
      <c r="B17" s="215">
        <f t="shared" si="4"/>
        <v>43630</v>
      </c>
      <c r="C17" s="216">
        <f t="shared" si="0"/>
        <v>2019</v>
      </c>
      <c r="D17" s="224">
        <f t="shared" si="7"/>
        <v>245000</v>
      </c>
      <c r="E17" s="218">
        <f t="shared" si="1"/>
        <v>22583.75</v>
      </c>
      <c r="F17" s="218">
        <f t="shared" si="6"/>
        <v>17500</v>
      </c>
      <c r="G17" s="218">
        <f t="shared" si="2"/>
        <v>5083.75</v>
      </c>
      <c r="H17" s="218">
        <f t="shared" si="3"/>
        <v>227500</v>
      </c>
      <c r="J17" s="225">
        <v>2016</v>
      </c>
      <c r="K17" s="226">
        <v>0</v>
      </c>
      <c r="L17" s="226">
        <v>34860</v>
      </c>
      <c r="M17"/>
    </row>
    <row r="18" spans="1:13" ht="15">
      <c r="A18" s="214">
        <v>16</v>
      </c>
      <c r="B18" s="215">
        <f t="shared" si="4"/>
        <v>43720</v>
      </c>
      <c r="C18" s="216">
        <f t="shared" si="0"/>
        <v>2019</v>
      </c>
      <c r="D18" s="224">
        <f t="shared" si="7"/>
        <v>227500</v>
      </c>
      <c r="E18" s="218">
        <f t="shared" si="1"/>
        <v>22220.625</v>
      </c>
      <c r="F18" s="218">
        <f t="shared" si="6"/>
        <v>17500</v>
      </c>
      <c r="G18" s="218">
        <f t="shared" si="2"/>
        <v>4720.625</v>
      </c>
      <c r="H18" s="218">
        <f t="shared" si="3"/>
        <v>210000</v>
      </c>
      <c r="J18" s="225">
        <v>2017</v>
      </c>
      <c r="K18" s="226">
        <v>70000</v>
      </c>
      <c r="L18" s="226">
        <v>32681.25</v>
      </c>
      <c r="M18"/>
    </row>
    <row r="19" spans="1:13" ht="15">
      <c r="A19" s="214">
        <v>17</v>
      </c>
      <c r="B19" s="215">
        <f t="shared" si="4"/>
        <v>43810</v>
      </c>
      <c r="C19" s="216">
        <v>2020</v>
      </c>
      <c r="D19" s="224">
        <f t="shared" si="7"/>
        <v>210000</v>
      </c>
      <c r="E19" s="218">
        <f t="shared" si="1"/>
        <v>21857.5</v>
      </c>
      <c r="F19" s="218">
        <f t="shared" si="6"/>
        <v>17500</v>
      </c>
      <c r="G19" s="218">
        <f t="shared" si="2"/>
        <v>4357.5</v>
      </c>
      <c r="H19" s="218">
        <f t="shared" si="3"/>
        <v>192500</v>
      </c>
      <c r="J19" s="225">
        <v>2018</v>
      </c>
      <c r="K19" s="226">
        <v>70000</v>
      </c>
      <c r="L19" s="226">
        <v>26871.25</v>
      </c>
      <c r="M19"/>
    </row>
    <row r="20" spans="1:13" ht="15">
      <c r="A20" s="214">
        <v>18</v>
      </c>
      <c r="B20" s="215">
        <f t="shared" si="4"/>
        <v>43900</v>
      </c>
      <c r="C20" s="216">
        <f t="shared" si="0"/>
        <v>2020</v>
      </c>
      <c r="D20" s="224">
        <f t="shared" si="7"/>
        <v>192500</v>
      </c>
      <c r="E20" s="218">
        <f t="shared" si="1"/>
        <v>21494.375</v>
      </c>
      <c r="F20" s="218">
        <f t="shared" si="6"/>
        <v>17500</v>
      </c>
      <c r="G20" s="218">
        <f t="shared" si="2"/>
        <v>3994.375</v>
      </c>
      <c r="H20" s="218">
        <f t="shared" si="3"/>
        <v>175000</v>
      </c>
      <c r="J20" s="225">
        <v>2019</v>
      </c>
      <c r="K20" s="226">
        <v>70000</v>
      </c>
      <c r="L20" s="226">
        <v>21061.25</v>
      </c>
      <c r="M20"/>
    </row>
    <row r="21" spans="1:13" ht="15">
      <c r="A21" s="214">
        <v>19</v>
      </c>
      <c r="B21" s="215">
        <f t="shared" si="4"/>
        <v>43990</v>
      </c>
      <c r="C21" s="216">
        <f t="shared" si="0"/>
        <v>2020</v>
      </c>
      <c r="D21" s="224">
        <f t="shared" si="7"/>
        <v>175000</v>
      </c>
      <c r="E21" s="218">
        <f t="shared" si="1"/>
        <v>21131.25</v>
      </c>
      <c r="F21" s="218">
        <f t="shared" si="6"/>
        <v>17500</v>
      </c>
      <c r="G21" s="218">
        <f t="shared" si="2"/>
        <v>3631.25</v>
      </c>
      <c r="H21" s="218">
        <f t="shared" si="3"/>
        <v>157500</v>
      </c>
      <c r="J21" s="225">
        <v>2020</v>
      </c>
      <c r="K21" s="226">
        <v>70000</v>
      </c>
      <c r="L21" s="226">
        <v>15251.25</v>
      </c>
      <c r="M21"/>
    </row>
    <row r="22" spans="1:13" ht="15">
      <c r="A22" s="214">
        <v>20</v>
      </c>
      <c r="B22" s="215">
        <f t="shared" si="4"/>
        <v>44080</v>
      </c>
      <c r="C22" s="216">
        <f t="shared" si="0"/>
        <v>2020</v>
      </c>
      <c r="D22" s="224">
        <f t="shared" si="7"/>
        <v>157500</v>
      </c>
      <c r="E22" s="218">
        <f t="shared" si="1"/>
        <v>20768.125</v>
      </c>
      <c r="F22" s="218">
        <f t="shared" si="6"/>
        <v>17500</v>
      </c>
      <c r="G22" s="218">
        <f t="shared" si="2"/>
        <v>3268.125</v>
      </c>
      <c r="H22" s="218">
        <f t="shared" si="3"/>
        <v>140000</v>
      </c>
      <c r="J22" s="225">
        <v>2021</v>
      </c>
      <c r="K22" s="226">
        <v>70000</v>
      </c>
      <c r="L22" s="226">
        <v>9441.25</v>
      </c>
      <c r="M22"/>
    </row>
    <row r="23" spans="1:13" ht="15">
      <c r="A23" s="214">
        <v>21</v>
      </c>
      <c r="B23" s="215">
        <f t="shared" si="4"/>
        <v>44170</v>
      </c>
      <c r="C23" s="216">
        <v>2021</v>
      </c>
      <c r="D23" s="224">
        <f t="shared" si="7"/>
        <v>140000</v>
      </c>
      <c r="E23" s="218">
        <f t="shared" si="1"/>
        <v>20405</v>
      </c>
      <c r="F23" s="218">
        <f t="shared" si="6"/>
        <v>17500</v>
      </c>
      <c r="G23" s="218">
        <f t="shared" si="2"/>
        <v>2905</v>
      </c>
      <c r="H23" s="218">
        <f t="shared" si="3"/>
        <v>122500</v>
      </c>
      <c r="J23" s="225">
        <v>2022</v>
      </c>
      <c r="K23" s="226">
        <v>70000</v>
      </c>
      <c r="L23" s="226">
        <v>3631.25</v>
      </c>
      <c r="M23" s="232"/>
    </row>
    <row r="24" spans="1:13" ht="15">
      <c r="A24" s="214">
        <v>22</v>
      </c>
      <c r="B24" s="215">
        <f t="shared" si="4"/>
        <v>44260</v>
      </c>
      <c r="C24" s="216">
        <f t="shared" si="0"/>
        <v>2021</v>
      </c>
      <c r="D24" s="224">
        <f t="shared" si="7"/>
        <v>122500</v>
      </c>
      <c r="E24" s="218">
        <f t="shared" si="1"/>
        <v>20041.875</v>
      </c>
      <c r="F24" s="218">
        <f t="shared" si="6"/>
        <v>17500</v>
      </c>
      <c r="G24" s="218">
        <f t="shared" si="2"/>
        <v>2541.875</v>
      </c>
      <c r="H24" s="218">
        <f t="shared" si="3"/>
        <v>105000</v>
      </c>
      <c r="J24" s="225" t="s">
        <v>195</v>
      </c>
      <c r="K24" s="226">
        <v>420000</v>
      </c>
      <c r="L24" s="226">
        <v>143797.5</v>
      </c>
      <c r="M24" s="232"/>
    </row>
    <row r="25" spans="1:13" ht="15">
      <c r="A25" s="214">
        <v>23</v>
      </c>
      <c r="B25" s="215">
        <f t="shared" si="4"/>
        <v>44350</v>
      </c>
      <c r="C25" s="216">
        <f t="shared" si="0"/>
        <v>2021</v>
      </c>
      <c r="D25" s="224">
        <f t="shared" si="7"/>
        <v>105000</v>
      </c>
      <c r="E25" s="218">
        <f t="shared" si="1"/>
        <v>19678.75</v>
      </c>
      <c r="F25" s="218">
        <f t="shared" si="6"/>
        <v>17500</v>
      </c>
      <c r="G25" s="218">
        <f t="shared" si="2"/>
        <v>2178.75</v>
      </c>
      <c r="H25" s="218">
        <f t="shared" si="3"/>
        <v>87500</v>
      </c>
      <c r="J25"/>
      <c r="K25"/>
      <c r="L25"/>
      <c r="M25" s="232"/>
    </row>
    <row r="26" spans="1:13" ht="15">
      <c r="A26" s="214">
        <v>24</v>
      </c>
      <c r="B26" s="215">
        <f t="shared" si="4"/>
        <v>44440</v>
      </c>
      <c r="C26" s="216">
        <f t="shared" si="0"/>
        <v>2021</v>
      </c>
      <c r="D26" s="224">
        <f t="shared" si="7"/>
        <v>87500</v>
      </c>
      <c r="E26" s="218">
        <f t="shared" si="1"/>
        <v>19315.625</v>
      </c>
      <c r="F26" s="218">
        <f t="shared" si="6"/>
        <v>17500</v>
      </c>
      <c r="G26" s="218">
        <f t="shared" si="2"/>
        <v>1815.625</v>
      </c>
      <c r="H26" s="218">
        <f t="shared" si="3"/>
        <v>70000</v>
      </c>
      <c r="J26"/>
      <c r="K26"/>
      <c r="L26"/>
      <c r="M26" s="232"/>
    </row>
    <row r="27" spans="1:13" ht="15">
      <c r="A27" s="214">
        <v>25</v>
      </c>
      <c r="B27" s="215">
        <f t="shared" si="4"/>
        <v>44530</v>
      </c>
      <c r="C27" s="216">
        <v>2022</v>
      </c>
      <c r="D27" s="224">
        <f t="shared" si="7"/>
        <v>70000</v>
      </c>
      <c r="E27" s="218">
        <f t="shared" si="1"/>
        <v>18952.5</v>
      </c>
      <c r="F27" s="218">
        <f t="shared" si="6"/>
        <v>17500</v>
      </c>
      <c r="G27" s="218">
        <f t="shared" si="2"/>
        <v>1452.5</v>
      </c>
      <c r="H27" s="227">
        <f>+D27-F27</f>
        <v>52500</v>
      </c>
      <c r="J27" s="231"/>
      <c r="K27" s="231" t="s">
        <v>14</v>
      </c>
      <c r="L27" s="231"/>
      <c r="M27" s="232"/>
    </row>
    <row r="28" spans="1:13" ht="15">
      <c r="A28" s="214">
        <v>26</v>
      </c>
      <c r="B28" s="215">
        <f t="shared" si="4"/>
        <v>44620</v>
      </c>
      <c r="C28" s="216">
        <f t="shared" si="0"/>
        <v>2022</v>
      </c>
      <c r="D28" s="224">
        <f t="shared" si="7"/>
        <v>52500</v>
      </c>
      <c r="E28" s="218">
        <f t="shared" si="1"/>
        <v>18589.375</v>
      </c>
      <c r="F28" s="218">
        <f t="shared" si="6"/>
        <v>17500</v>
      </c>
      <c r="G28" s="218">
        <f t="shared" si="2"/>
        <v>1089.375</v>
      </c>
      <c r="H28" s="227">
        <f t="shared" ref="H28:H29" si="8">+D28-F28</f>
        <v>35000</v>
      </c>
      <c r="J28" s="229" t="s">
        <v>194</v>
      </c>
      <c r="K28" s="229" t="s">
        <v>198</v>
      </c>
      <c r="L28" s="229" t="s">
        <v>196</v>
      </c>
      <c r="M28" s="232"/>
    </row>
    <row r="29" spans="1:13" ht="15">
      <c r="A29" s="214">
        <v>27</v>
      </c>
      <c r="B29" s="215">
        <f t="shared" si="4"/>
        <v>44710</v>
      </c>
      <c r="C29" s="216">
        <f t="shared" si="0"/>
        <v>2022</v>
      </c>
      <c r="D29" s="224">
        <f t="shared" si="7"/>
        <v>35000</v>
      </c>
      <c r="E29" s="218">
        <f t="shared" si="1"/>
        <v>18226.25</v>
      </c>
      <c r="F29" s="218">
        <f t="shared" si="6"/>
        <v>17500</v>
      </c>
      <c r="G29" s="218">
        <f t="shared" si="2"/>
        <v>726.25</v>
      </c>
      <c r="H29" s="227">
        <f t="shared" si="8"/>
        <v>17500</v>
      </c>
      <c r="J29" s="225">
        <v>2016</v>
      </c>
      <c r="K29" s="226">
        <f>+K17</f>
        <v>0</v>
      </c>
      <c r="L29" s="226">
        <f>+L17</f>
        <v>34860</v>
      </c>
      <c r="M29" s="233">
        <f>+K29+L29</f>
        <v>34860</v>
      </c>
    </row>
    <row r="30" spans="1:13" ht="15">
      <c r="A30" s="214">
        <v>28</v>
      </c>
      <c r="B30" s="215">
        <f t="shared" si="4"/>
        <v>44800</v>
      </c>
      <c r="C30" s="216">
        <f t="shared" si="0"/>
        <v>2022</v>
      </c>
      <c r="D30" s="224">
        <f t="shared" si="7"/>
        <v>17500</v>
      </c>
      <c r="E30" s="218">
        <f t="shared" si="1"/>
        <v>17863.125</v>
      </c>
      <c r="F30" s="218">
        <f t="shared" si="6"/>
        <v>17500</v>
      </c>
      <c r="G30" s="218">
        <f t="shared" si="2"/>
        <v>363.125</v>
      </c>
      <c r="H30" s="227">
        <f>+D30-F30</f>
        <v>0</v>
      </c>
      <c r="J30" s="225">
        <v>2017</v>
      </c>
      <c r="K30" s="226">
        <f t="shared" ref="K30:L35" si="9">+K18</f>
        <v>70000</v>
      </c>
      <c r="L30" s="226">
        <f t="shared" si="9"/>
        <v>32681.25</v>
      </c>
      <c r="M30" s="233">
        <f t="shared" ref="M30:M35" si="10">+K30+L30</f>
        <v>102681.25</v>
      </c>
    </row>
    <row r="31" spans="1:13" ht="15">
      <c r="J31" s="225">
        <v>2018</v>
      </c>
      <c r="K31" s="226">
        <f t="shared" si="9"/>
        <v>70000</v>
      </c>
      <c r="L31" s="226">
        <f t="shared" si="9"/>
        <v>26871.25</v>
      </c>
      <c r="M31" s="233">
        <f t="shared" si="10"/>
        <v>96871.25</v>
      </c>
    </row>
    <row r="32" spans="1:13" ht="15">
      <c r="D32" s="228"/>
      <c r="E32" s="228"/>
      <c r="F32" s="228"/>
      <c r="G32" s="228">
        <f>SUM(G3:G31)</f>
        <v>143797.5</v>
      </c>
      <c r="H32" s="228"/>
      <c r="J32" s="225">
        <v>2019</v>
      </c>
      <c r="K32" s="226">
        <f t="shared" si="9"/>
        <v>70000</v>
      </c>
      <c r="L32" s="226">
        <f t="shared" si="9"/>
        <v>21061.25</v>
      </c>
      <c r="M32" s="233">
        <f t="shared" si="10"/>
        <v>91061.25</v>
      </c>
    </row>
    <row r="33" spans="2:13" ht="15">
      <c r="G33" s="250">
        <f>+G32/D11</f>
        <v>0.41084999999999999</v>
      </c>
      <c r="J33" s="225">
        <v>2020</v>
      </c>
      <c r="K33" s="226">
        <f t="shared" si="9"/>
        <v>70000</v>
      </c>
      <c r="L33" s="226">
        <f t="shared" si="9"/>
        <v>15251.25</v>
      </c>
      <c r="M33" s="233">
        <f t="shared" si="10"/>
        <v>85251.25</v>
      </c>
    </row>
    <row r="34" spans="2:13" ht="15">
      <c r="J34" s="225">
        <v>2021</v>
      </c>
      <c r="K34" s="226">
        <f t="shared" si="9"/>
        <v>70000</v>
      </c>
      <c r="L34" s="226">
        <f t="shared" si="9"/>
        <v>9441.25</v>
      </c>
      <c r="M34" s="233">
        <f t="shared" si="10"/>
        <v>79441.25</v>
      </c>
    </row>
    <row r="35" spans="2:13" ht="15">
      <c r="J35" s="225">
        <v>2022</v>
      </c>
      <c r="K35" s="226">
        <f t="shared" si="9"/>
        <v>70000</v>
      </c>
      <c r="L35" s="226">
        <f t="shared" si="9"/>
        <v>3631.25</v>
      </c>
      <c r="M35" s="233">
        <f t="shared" si="10"/>
        <v>73631.25</v>
      </c>
    </row>
    <row r="36" spans="2:13" ht="15">
      <c r="J36" s="230" t="s">
        <v>195</v>
      </c>
      <c r="K36" s="234">
        <f>SUM(K29:K35)</f>
        <v>420000</v>
      </c>
      <c r="L36" s="234">
        <f>SUM(L29:L35)</f>
        <v>143797.5</v>
      </c>
    </row>
    <row r="40" spans="2:13" ht="12.75" thickBot="1">
      <c r="B40" s="365" t="s">
        <v>68</v>
      </c>
      <c r="C40" s="364">
        <v>2016</v>
      </c>
      <c r="D40" s="364">
        <v>2017</v>
      </c>
      <c r="E40" s="364">
        <v>2018</v>
      </c>
      <c r="F40" s="364">
        <v>2019</v>
      </c>
      <c r="G40" s="364">
        <v>2020</v>
      </c>
      <c r="H40" s="351">
        <v>2021</v>
      </c>
      <c r="I40" s="351">
        <v>2022</v>
      </c>
      <c r="J40" s="351" t="s">
        <v>59</v>
      </c>
    </row>
    <row r="41" spans="2:13" ht="12.75" thickTop="1">
      <c r="B41" s="358" t="s">
        <v>518</v>
      </c>
      <c r="C41" s="359">
        <v>420000</v>
      </c>
      <c r="D41" s="359">
        <v>420000</v>
      </c>
      <c r="E41" s="360">
        <f>+D41-D43</f>
        <v>350000</v>
      </c>
      <c r="F41" s="360">
        <f t="shared" ref="F41:I41" si="11">+E41-E43</f>
        <v>280000</v>
      </c>
      <c r="G41" s="360">
        <f t="shared" si="11"/>
        <v>210000</v>
      </c>
      <c r="H41" s="360">
        <f t="shared" si="11"/>
        <v>140000</v>
      </c>
      <c r="I41" s="360">
        <f t="shared" si="11"/>
        <v>70000</v>
      </c>
      <c r="J41" s="361"/>
    </row>
    <row r="42" spans="2:13">
      <c r="B42" s="358" t="s">
        <v>517</v>
      </c>
      <c r="C42" s="362">
        <v>34860</v>
      </c>
      <c r="D42" s="362">
        <v>32681.25</v>
      </c>
      <c r="E42" s="362">
        <v>26871.25</v>
      </c>
      <c r="F42" s="362">
        <v>21061.25</v>
      </c>
      <c r="G42" s="362">
        <v>15251.25</v>
      </c>
      <c r="H42" s="302">
        <v>9441.25</v>
      </c>
      <c r="I42" s="302">
        <v>3631.25</v>
      </c>
      <c r="J42" s="302">
        <f>SUM(C42:I42)</f>
        <v>143797.5</v>
      </c>
    </row>
    <row r="43" spans="2:13">
      <c r="B43" s="358" t="s">
        <v>516</v>
      </c>
      <c r="C43" s="362">
        <v>0</v>
      </c>
      <c r="D43" s="362">
        <v>70000</v>
      </c>
      <c r="E43" s="362">
        <v>70000</v>
      </c>
      <c r="F43" s="362">
        <v>70000</v>
      </c>
      <c r="G43" s="362">
        <v>70000</v>
      </c>
      <c r="H43" s="302">
        <v>70000</v>
      </c>
      <c r="I43" s="302">
        <v>70000</v>
      </c>
      <c r="J43" s="302">
        <f>SUM(C43:I43)</f>
        <v>420000</v>
      </c>
    </row>
    <row r="44" spans="2:13">
      <c r="B44" s="358"/>
      <c r="C44" s="363"/>
      <c r="D44" s="363"/>
      <c r="E44" s="363"/>
      <c r="F44" s="363"/>
      <c r="G44" s="363"/>
      <c r="H44" s="301"/>
      <c r="I44" s="301"/>
      <c r="J44" s="301"/>
    </row>
    <row r="45" spans="2:13">
      <c r="B45" s="366" t="s">
        <v>515</v>
      </c>
      <c r="C45" s="367">
        <f t="shared" ref="C45:J45" si="12">+C43+C42</f>
        <v>34860</v>
      </c>
      <c r="D45" s="367">
        <f t="shared" si="12"/>
        <v>102681.25</v>
      </c>
      <c r="E45" s="367">
        <f t="shared" si="12"/>
        <v>96871.25</v>
      </c>
      <c r="F45" s="367">
        <f t="shared" si="12"/>
        <v>91061.25</v>
      </c>
      <c r="G45" s="367">
        <f t="shared" si="12"/>
        <v>85251.25</v>
      </c>
      <c r="H45" s="367">
        <f t="shared" si="12"/>
        <v>79441.25</v>
      </c>
      <c r="I45" s="367">
        <f t="shared" si="12"/>
        <v>73631.25</v>
      </c>
      <c r="J45" s="367">
        <f t="shared" si="12"/>
        <v>563797.5</v>
      </c>
    </row>
  </sheetData>
  <conditionalFormatting sqref="B3:H30">
    <cfRule type="expression" dxfId="5" priority="9" stopIfTrue="1">
      <formula>NOT(Loan_Not_Paid)</formula>
    </cfRule>
    <cfRule type="expression" dxfId="4" priority="10" stopIfTrue="1">
      <formula>IF(ROW(B3)=Last_Row,TRUE,FALSE)</formula>
    </cfRule>
  </conditionalFormatting>
  <conditionalFormatting sqref="A3:A30">
    <cfRule type="expression" dxfId="3" priority="7" stopIfTrue="1">
      <formula>NOT(Loan_Not_Paid)</formula>
    </cfRule>
    <cfRule type="expression" dxfId="2" priority="8" stopIfTrue="1">
      <formula>IF(ROW(A3)=Last_Row,TRUE,FALSE)</formula>
    </cfRule>
  </conditionalFormatting>
  <conditionalFormatting sqref="H3:H30">
    <cfRule type="expression" dxfId="1" priority="5" stopIfTrue="1">
      <formula>NOT(Loan_Not_Paid)</formula>
    </cfRule>
    <cfRule type="expression" dxfId="0" priority="6" stopIfTrue="1">
      <formula>IF(ROW(H3)=Last_Row,TRUE,FALSE)</formula>
    </cfRule>
  </conditionalFormatting>
  <pageMargins left="0.7" right="0.7" top="0.75" bottom="0.75" header="0.3" footer="0.3"/>
  <pageSetup paperSize="9" orientation="portrait" horizontalDpi="0" verticalDpi="0"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4:J67"/>
  <sheetViews>
    <sheetView topLeftCell="A23" workbookViewId="0">
      <selection activeCell="D47" sqref="D47"/>
    </sheetView>
  </sheetViews>
  <sheetFormatPr baseColWidth="10" defaultRowHeight="12"/>
  <cols>
    <col min="1" max="1" width="33.85546875" style="3" bestFit="1" customWidth="1"/>
    <col min="2" max="16384" width="11.42578125" style="3"/>
  </cols>
  <sheetData>
    <row r="4" spans="1:9">
      <c r="B4" s="235" t="s">
        <v>362</v>
      </c>
    </row>
    <row r="6" spans="1:9" ht="24">
      <c r="A6" s="236"/>
      <c r="B6" s="237" t="s">
        <v>355</v>
      </c>
      <c r="C6" s="237" t="s">
        <v>356</v>
      </c>
      <c r="D6" s="237" t="s">
        <v>357</v>
      </c>
      <c r="E6" s="237" t="s">
        <v>358</v>
      </c>
      <c r="F6" s="237" t="s">
        <v>359</v>
      </c>
      <c r="G6" s="237" t="s">
        <v>360</v>
      </c>
      <c r="H6" s="237" t="s">
        <v>497</v>
      </c>
      <c r="I6" s="237" t="s">
        <v>498</v>
      </c>
    </row>
    <row r="7" spans="1:9">
      <c r="A7" s="238" t="s">
        <v>363</v>
      </c>
      <c r="B7" s="239">
        <f>+'Schémas fin'!B4</f>
        <v>180000</v>
      </c>
      <c r="C7" s="238"/>
      <c r="D7" s="238"/>
      <c r="E7" s="238"/>
      <c r="F7" s="238"/>
      <c r="G7" s="238"/>
      <c r="H7" s="238"/>
      <c r="I7" s="238"/>
    </row>
    <row r="8" spans="1:9">
      <c r="A8" s="238" t="s">
        <v>364</v>
      </c>
      <c r="B8" s="239">
        <f>+'Schémas fin'!B5</f>
        <v>420000</v>
      </c>
      <c r="C8" s="238"/>
      <c r="D8" s="238"/>
      <c r="E8" s="238"/>
      <c r="F8" s="238"/>
      <c r="G8" s="238"/>
      <c r="H8" s="238"/>
      <c r="I8" s="238"/>
    </row>
    <row r="9" spans="1:9">
      <c r="A9" s="238" t="s">
        <v>365</v>
      </c>
      <c r="B9" s="239">
        <f>-(Investissements!C23+Investissements!C29+Investissements!C30)</f>
        <v>-418067.9</v>
      </c>
      <c r="C9" s="238"/>
      <c r="D9" s="238"/>
      <c r="E9" s="238"/>
      <c r="F9" s="238"/>
      <c r="G9" s="238"/>
      <c r="H9" s="238"/>
      <c r="I9" s="238"/>
    </row>
    <row r="10" spans="1:9">
      <c r="A10" s="238" t="s">
        <v>361</v>
      </c>
      <c r="B10" s="239"/>
      <c r="C10" s="239">
        <f>+'P&amp;L'!C39</f>
        <v>154553.00813649199</v>
      </c>
      <c r="D10" s="239">
        <f>+'P&amp;L'!E39</f>
        <v>193645.87217047386</v>
      </c>
      <c r="E10" s="239">
        <f>+'P&amp;L'!G39</f>
        <v>245993.00513304491</v>
      </c>
      <c r="F10" s="239">
        <f>+'P&amp;L'!I39</f>
        <v>291747.74951592082</v>
      </c>
      <c r="G10" s="239">
        <f>+'P&amp;L'!K39</f>
        <v>360747.34609132464</v>
      </c>
      <c r="H10" s="239">
        <f>+'P&amp;L'!M39</f>
        <v>338295.36586840026</v>
      </c>
      <c r="I10" s="239">
        <f>+'P&amp;L'!O39</f>
        <v>359153.21092306491</v>
      </c>
    </row>
    <row r="11" spans="1:9">
      <c r="A11" s="238"/>
      <c r="B11" s="239"/>
      <c r="C11" s="239"/>
      <c r="D11" s="239"/>
      <c r="E11" s="239"/>
      <c r="F11" s="239"/>
      <c r="G11" s="239"/>
      <c r="H11" s="239"/>
      <c r="I11" s="239"/>
    </row>
    <row r="12" spans="1:9">
      <c r="A12" s="238" t="s">
        <v>341</v>
      </c>
      <c r="B12" s="239"/>
      <c r="C12" s="239">
        <f>-C26</f>
        <v>-181932.16442889717</v>
      </c>
      <c r="D12" s="239">
        <f>-D28</f>
        <v>-27289.824664334563</v>
      </c>
      <c r="E12" s="239">
        <f t="shared" ref="E12:G12" si="0">-E28</f>
        <v>-31383.298363984708</v>
      </c>
      <c r="F12" s="239">
        <f t="shared" si="0"/>
        <v>-36090.793118582369</v>
      </c>
      <c r="G12" s="239">
        <f t="shared" si="0"/>
        <v>-41504.412086369994</v>
      </c>
      <c r="H12" s="239">
        <f t="shared" ref="H12:I12" si="1">-H28</f>
        <v>0</v>
      </c>
      <c r="I12" s="239">
        <f t="shared" si="1"/>
        <v>0</v>
      </c>
    </row>
    <row r="13" spans="1:9">
      <c r="A13" s="238" t="s">
        <v>366</v>
      </c>
      <c r="B13" s="239"/>
      <c r="C13" s="239">
        <v>0</v>
      </c>
      <c r="D13" s="239">
        <f>-Emprunt!K30</f>
        <v>-70000</v>
      </c>
      <c r="E13" s="239">
        <f>-Emprunt!K31</f>
        <v>-70000</v>
      </c>
      <c r="F13" s="239">
        <f>-Emprunt!K32</f>
        <v>-70000</v>
      </c>
      <c r="G13" s="239">
        <f>-Emprunt!K33</f>
        <v>-70000</v>
      </c>
      <c r="H13" s="239">
        <f>-Emprunt!K34</f>
        <v>-70000</v>
      </c>
      <c r="I13" s="239">
        <f>-Emprunt!K35</f>
        <v>-70000</v>
      </c>
    </row>
    <row r="14" spans="1:9">
      <c r="A14" s="238"/>
      <c r="B14" s="239"/>
      <c r="C14" s="239"/>
      <c r="D14" s="239"/>
      <c r="E14" s="239"/>
      <c r="F14" s="239"/>
      <c r="G14" s="239"/>
      <c r="H14" s="239"/>
      <c r="I14" s="239"/>
    </row>
    <row r="15" spans="1:9" hidden="1">
      <c r="A15" s="238"/>
      <c r="B15" s="239"/>
      <c r="C15" s="239"/>
      <c r="D15" s="239"/>
      <c r="E15" s="239"/>
      <c r="F15" s="239"/>
      <c r="G15" s="239"/>
      <c r="H15" s="239"/>
      <c r="I15" s="239"/>
    </row>
    <row r="16" spans="1:9" hidden="1">
      <c r="A16" s="238"/>
      <c r="B16" s="239"/>
      <c r="C16" s="239"/>
      <c r="D16" s="239"/>
      <c r="E16" s="239"/>
      <c r="F16" s="239"/>
      <c r="G16" s="239"/>
      <c r="H16" s="239"/>
      <c r="I16" s="239"/>
    </row>
    <row r="17" spans="1:9" hidden="1">
      <c r="A17" s="238"/>
      <c r="B17" s="239"/>
      <c r="C17" s="239"/>
      <c r="D17" s="239"/>
      <c r="E17" s="239"/>
      <c r="F17" s="239"/>
      <c r="G17" s="239"/>
      <c r="H17" s="239"/>
      <c r="I17" s="239"/>
    </row>
    <row r="18" spans="1:9">
      <c r="A18" s="238" t="s">
        <v>367</v>
      </c>
      <c r="B18" s="239">
        <f>SUM(B7:B17)</f>
        <v>181932.09999999998</v>
      </c>
      <c r="C18" s="239">
        <f>SUM(C7:C17)</f>
        <v>-27379.156292405183</v>
      </c>
      <c r="D18" s="239">
        <f t="shared" ref="D18:F18" si="2">SUM(D7:D17)</f>
        <v>96356.047506139294</v>
      </c>
      <c r="E18" s="239">
        <f t="shared" si="2"/>
        <v>144609.7067690602</v>
      </c>
      <c r="F18" s="239">
        <f t="shared" si="2"/>
        <v>185656.95639733845</v>
      </c>
      <c r="G18" s="239">
        <f>SUM(G7:G17)</f>
        <v>249242.93400495464</v>
      </c>
      <c r="H18" s="239">
        <f t="shared" ref="H18:I18" si="3">SUM(H7:H17)</f>
        <v>268295.36586840026</v>
      </c>
      <c r="I18" s="239">
        <f t="shared" si="3"/>
        <v>289153.21092306491</v>
      </c>
    </row>
    <row r="19" spans="1:9">
      <c r="A19" s="238"/>
      <c r="B19" s="239"/>
      <c r="C19" s="239"/>
      <c r="D19" s="239"/>
      <c r="E19" s="239"/>
      <c r="F19" s="239"/>
      <c r="G19" s="239"/>
      <c r="H19" s="239"/>
      <c r="I19" s="239"/>
    </row>
    <row r="20" spans="1:9">
      <c r="A20" s="238" t="s">
        <v>368</v>
      </c>
      <c r="B20" s="239">
        <f>B18</f>
        <v>181932.09999999998</v>
      </c>
      <c r="C20" s="239">
        <f>B20+C18</f>
        <v>154552.94370759479</v>
      </c>
      <c r="D20" s="239">
        <f>C20+D18</f>
        <v>250908.99121373409</v>
      </c>
      <c r="E20" s="239">
        <f>D20+E18</f>
        <v>395518.69798279426</v>
      </c>
      <c r="F20" s="239">
        <f>E20+F18</f>
        <v>581175.65438013268</v>
      </c>
      <c r="G20" s="239">
        <f>F20+G18</f>
        <v>830418.58838508732</v>
      </c>
      <c r="H20" s="239">
        <f t="shared" ref="H20:I20" si="4">G20+H18</f>
        <v>1098713.9542534875</v>
      </c>
      <c r="I20" s="239">
        <f t="shared" si="4"/>
        <v>1387867.1651765525</v>
      </c>
    </row>
    <row r="22" spans="1:9" hidden="1"/>
    <row r="23" spans="1:9">
      <c r="D23" s="58">
        <f>+(D24-C24)/C24</f>
        <v>0.15000000000000008</v>
      </c>
      <c r="E23" s="58">
        <f>+(E24-D24)/D24</f>
        <v>0.14999999999999977</v>
      </c>
      <c r="F23" s="58">
        <f>+(F24-E24)/E24</f>
        <v>0.14999999999999958</v>
      </c>
      <c r="G23" s="58">
        <f>+(G24-F24)/F24</f>
        <v>0.15000000000000044</v>
      </c>
      <c r="H23" s="58">
        <f>+(H24-G24)/G24</f>
        <v>0</v>
      </c>
      <c r="I23" s="58">
        <f t="shared" ref="I23" si="5">+(I24-H24)/H24</f>
        <v>0</v>
      </c>
    </row>
    <row r="24" spans="1:9">
      <c r="A24" s="15" t="s">
        <v>478</v>
      </c>
      <c r="C24" s="183">
        <f>+'Autres charges'!C3*1.06*0.9</f>
        <v>1846791.36</v>
      </c>
      <c r="D24" s="183">
        <f>+'Autres charges'!D3*1.06*0.9</f>
        <v>2123810.0640000002</v>
      </c>
      <c r="E24" s="183">
        <f>+'Autres charges'!E3*1.06*0.9</f>
        <v>2442381.5735999998</v>
      </c>
      <c r="F24" s="183">
        <f>+'Autres charges'!F3*1.06*0.9</f>
        <v>2808738.8096399987</v>
      </c>
      <c r="G24" s="183">
        <f>+'Autres charges'!G3*1.06*0.9</f>
        <v>3230049.6310859998</v>
      </c>
      <c r="H24" s="183">
        <f>+'Autres charges'!H3*1.06*0.9</f>
        <v>3230049.6310859998</v>
      </c>
      <c r="I24" s="183">
        <f>+'Autres charges'!I3*1.06*0.9</f>
        <v>3230049.6310859998</v>
      </c>
    </row>
    <row r="25" spans="1:9">
      <c r="A25" s="15"/>
    </row>
    <row r="26" spans="1:9">
      <c r="A26" s="15" t="s">
        <v>477</v>
      </c>
      <c r="C26" s="183">
        <f>+C24/360*Investissements!$F$31</f>
        <v>181932.16442889717</v>
      </c>
      <c r="D26" s="183">
        <f>+D24/360*Investissements!$F$31</f>
        <v>209221.98909323174</v>
      </c>
      <c r="E26" s="183">
        <f>+E24/360*Investissements!$F$31</f>
        <v>240605.28745721644</v>
      </c>
      <c r="F26" s="183">
        <f>+F24/360*Investissements!$F$31</f>
        <v>276696.08057579881</v>
      </c>
      <c r="G26" s="183">
        <f>+G24/360*Investissements!$F$31</f>
        <v>318200.49266216881</v>
      </c>
      <c r="H26" s="183">
        <f>+H24/360*Investissements!$F$31</f>
        <v>318200.49266216881</v>
      </c>
      <c r="I26" s="183">
        <f>+I24/360*Investissements!$F$31</f>
        <v>318200.49266216881</v>
      </c>
    </row>
    <row r="27" spans="1:9">
      <c r="A27" s="15"/>
      <c r="C27" s="183"/>
      <c r="D27" s="183"/>
      <c r="E27" s="183"/>
      <c r="F27" s="183"/>
      <c r="G27" s="183"/>
      <c r="H27" s="183"/>
      <c r="I27" s="183"/>
    </row>
    <row r="28" spans="1:9">
      <c r="A28" s="15" t="s">
        <v>341</v>
      </c>
      <c r="C28" s="275">
        <f>+C26</f>
        <v>181932.16442889717</v>
      </c>
      <c r="D28" s="275">
        <f>+D26-C26</f>
        <v>27289.824664334563</v>
      </c>
      <c r="E28" s="275">
        <f>+E26-D26</f>
        <v>31383.298363984708</v>
      </c>
      <c r="F28" s="275">
        <f>+F26-E26</f>
        <v>36090.793118582369</v>
      </c>
      <c r="G28" s="275">
        <f>+G26-F26</f>
        <v>41504.412086369994</v>
      </c>
      <c r="H28" s="275">
        <f t="shared" ref="H28:I28" si="6">+H26-G26</f>
        <v>0</v>
      </c>
      <c r="I28" s="275">
        <f t="shared" si="6"/>
        <v>0</v>
      </c>
    </row>
    <row r="31" spans="1:9" ht="12.75" thickBot="1">
      <c r="A31" s="1"/>
      <c r="B31" s="1"/>
      <c r="C31" s="1">
        <v>2016</v>
      </c>
      <c r="D31" s="1">
        <v>2017</v>
      </c>
      <c r="E31" s="1">
        <v>2018</v>
      </c>
      <c r="F31" s="1">
        <v>2019</v>
      </c>
      <c r="G31" s="1">
        <v>2020</v>
      </c>
      <c r="H31" s="1">
        <v>2021</v>
      </c>
      <c r="I31" s="1">
        <v>2022</v>
      </c>
    </row>
    <row r="32" spans="1:9" ht="13.5" thickTop="1">
      <c r="A32" s="286" t="s">
        <v>482</v>
      </c>
      <c r="B32" s="75">
        <f>-Investissements!C31</f>
        <v>-181932.16442889714</v>
      </c>
      <c r="C32" s="284">
        <f>-Investissements!C31</f>
        <v>-181932.16442889714</v>
      </c>
      <c r="D32" s="284">
        <f>-D26</f>
        <v>-209221.98909323174</v>
      </c>
      <c r="E32" s="284">
        <f>-E26</f>
        <v>-240605.28745721644</v>
      </c>
      <c r="F32" s="284">
        <f>-F26</f>
        <v>-276696.08057579881</v>
      </c>
      <c r="G32" s="284">
        <f>-G26</f>
        <v>-318200.49266216881</v>
      </c>
      <c r="H32" s="284">
        <f t="shared" ref="H32" si="7">-H26</f>
        <v>-318200.49266216881</v>
      </c>
      <c r="I32" s="284">
        <f>-I26</f>
        <v>-318200.49266216881</v>
      </c>
    </row>
    <row r="33" spans="1:10" ht="12.75">
      <c r="A33" s="287" t="s">
        <v>483</v>
      </c>
      <c r="B33" s="161"/>
      <c r="C33" s="285">
        <f>+C32-B32</f>
        <v>0</v>
      </c>
      <c r="D33" s="285">
        <f>+D32-C32</f>
        <v>-27289.824664334592</v>
      </c>
      <c r="E33" s="285">
        <f>+E32-D32</f>
        <v>-31383.298363984708</v>
      </c>
      <c r="F33" s="285">
        <f>+F32-E32</f>
        <v>-36090.793118582369</v>
      </c>
      <c r="G33" s="285">
        <f>+G32-F32</f>
        <v>-41504.412086369994</v>
      </c>
      <c r="H33" s="285">
        <f t="shared" ref="H33:I33" si="8">+H32-G32</f>
        <v>0</v>
      </c>
      <c r="I33" s="285">
        <f t="shared" si="8"/>
        <v>0</v>
      </c>
    </row>
    <row r="36" spans="1:10" ht="24.75" thickBot="1">
      <c r="A36" s="317"/>
      <c r="B36" s="317" t="s">
        <v>493</v>
      </c>
      <c r="C36" s="317">
        <v>2016</v>
      </c>
      <c r="D36" s="317">
        <v>2017</v>
      </c>
      <c r="E36" s="317">
        <v>2018</v>
      </c>
      <c r="F36" s="317">
        <v>2019</v>
      </c>
      <c r="G36" s="317">
        <v>2020</v>
      </c>
      <c r="H36" s="317">
        <v>2021</v>
      </c>
      <c r="I36" s="317">
        <v>2022</v>
      </c>
    </row>
    <row r="37" spans="1:10" s="289" customFormat="1" ht="12.75" thickTop="1">
      <c r="A37" s="318" t="s">
        <v>487</v>
      </c>
      <c r="B37" s="316">
        <f>+Investissements!C32</f>
        <v>600000.06442889711</v>
      </c>
      <c r="C37" s="319"/>
      <c r="D37" s="320"/>
      <c r="E37" s="320"/>
      <c r="F37" s="320"/>
      <c r="G37" s="320"/>
      <c r="H37" s="320"/>
      <c r="I37" s="320"/>
    </row>
    <row r="38" spans="1:10">
      <c r="A38" s="319" t="s">
        <v>484</v>
      </c>
      <c r="B38" s="319"/>
      <c r="C38" s="321">
        <f>+'P&amp;L'!C37</f>
        <v>98763.568136491987</v>
      </c>
      <c r="D38" s="321">
        <f>+'P&amp;L'!E37</f>
        <v>137856.43217047385</v>
      </c>
      <c r="E38" s="321">
        <f>+'P&amp;L'!G37</f>
        <v>190201.51513304492</v>
      </c>
      <c r="F38" s="321">
        <f>+'P&amp;L'!I37</f>
        <v>242790.95951592084</v>
      </c>
      <c r="G38" s="321">
        <f>+'P&amp;L'!K37</f>
        <v>311790.55609132466</v>
      </c>
      <c r="H38" s="321">
        <f>+'P&amp;L'!M37</f>
        <v>308738.57586840028</v>
      </c>
      <c r="I38" s="321">
        <f>+'P&amp;L'!O37</f>
        <v>329596.42092306493</v>
      </c>
    </row>
    <row r="39" spans="1:10">
      <c r="A39" s="319" t="s">
        <v>485</v>
      </c>
      <c r="B39" s="319"/>
      <c r="C39" s="321">
        <f>-'P&amp;L'!C21</f>
        <v>55789.440000000002</v>
      </c>
      <c r="D39" s="321">
        <f>-'P&amp;L'!E21</f>
        <v>55789.440000000002</v>
      </c>
      <c r="E39" s="321">
        <f>-'P&amp;L'!G21</f>
        <v>55791.490000000005</v>
      </c>
      <c r="F39" s="321">
        <f>-'P&amp;L'!I21</f>
        <v>48956.79</v>
      </c>
      <c r="G39" s="321">
        <f>-'P&amp;L'!K21</f>
        <v>48956.79</v>
      </c>
      <c r="H39" s="321">
        <f>-'P&amp;L'!M21</f>
        <v>29556.79</v>
      </c>
      <c r="I39" s="321">
        <f>-'P&amp;L'!O21</f>
        <v>29556.79</v>
      </c>
    </row>
    <row r="40" spans="1:10">
      <c r="A40" s="319" t="s">
        <v>483</v>
      </c>
      <c r="B40" s="321"/>
      <c r="C40" s="321">
        <f>+C33</f>
        <v>0</v>
      </c>
      <c r="D40" s="321">
        <f>+D33</f>
        <v>-27289.824664334592</v>
      </c>
      <c r="E40" s="321">
        <f>+E33</f>
        <v>-31383.298363984708</v>
      </c>
      <c r="F40" s="321">
        <f>+F33</f>
        <v>-36090.793118582369</v>
      </c>
      <c r="G40" s="321">
        <f>+G33</f>
        <v>-41504.412086369994</v>
      </c>
      <c r="H40" s="321">
        <f t="shared" ref="H40:I40" si="9">+H33</f>
        <v>0</v>
      </c>
      <c r="I40" s="321">
        <f t="shared" si="9"/>
        <v>0</v>
      </c>
    </row>
    <row r="41" spans="1:10">
      <c r="A41" s="319" t="s">
        <v>486</v>
      </c>
      <c r="B41" s="319"/>
      <c r="C41" s="321">
        <v>0</v>
      </c>
      <c r="D41" s="321">
        <f>-Emprunt!K30</f>
        <v>-70000</v>
      </c>
      <c r="E41" s="321">
        <f>-Emprunt!K31</f>
        <v>-70000</v>
      </c>
      <c r="F41" s="321">
        <f>-Emprunt!K32</f>
        <v>-70000</v>
      </c>
      <c r="G41" s="321">
        <f>-Emprunt!K33</f>
        <v>-70000</v>
      </c>
      <c r="H41" s="321">
        <f>-Emprunt!K34</f>
        <v>-70000</v>
      </c>
      <c r="I41" s="321">
        <f>-Emprunt!K35</f>
        <v>-70000</v>
      </c>
    </row>
    <row r="42" spans="1:10">
      <c r="A42" s="319" t="s">
        <v>504</v>
      </c>
      <c r="B42" s="319"/>
      <c r="C42" s="321"/>
      <c r="D42" s="321"/>
      <c r="E42" s="321"/>
      <c r="F42" s="321"/>
      <c r="G42" s="321"/>
      <c r="H42" s="321"/>
      <c r="I42" s="321">
        <f>+Investissements!N11</f>
        <v>88670.369999999966</v>
      </c>
    </row>
    <row r="43" spans="1:10">
      <c r="A43" s="319" t="s">
        <v>499</v>
      </c>
      <c r="B43" s="321"/>
      <c r="C43" s="321"/>
      <c r="D43" s="321"/>
      <c r="E43" s="321"/>
      <c r="F43" s="321"/>
      <c r="G43" s="321"/>
      <c r="H43" s="321"/>
      <c r="I43" s="321">
        <f>-I32</f>
        <v>318200.49266216881</v>
      </c>
    </row>
    <row r="44" spans="1:10" s="15" customFormat="1">
      <c r="A44" s="322" t="s">
        <v>505</v>
      </c>
      <c r="B44" s="323">
        <f>SUM(B38:B43)</f>
        <v>0</v>
      </c>
      <c r="C44" s="323">
        <f>SUM(C38:C43)</f>
        <v>154553.00813649199</v>
      </c>
      <c r="D44" s="323">
        <f t="shared" ref="D44:H44" si="10">SUM(D38:D43)</f>
        <v>96356.047506139264</v>
      </c>
      <c r="E44" s="323">
        <f t="shared" si="10"/>
        <v>144609.7067690602</v>
      </c>
      <c r="F44" s="323">
        <f t="shared" si="10"/>
        <v>185656.95639733845</v>
      </c>
      <c r="G44" s="323">
        <f t="shared" si="10"/>
        <v>249242.93400495464</v>
      </c>
      <c r="H44" s="323">
        <f t="shared" si="10"/>
        <v>268295.36586840026</v>
      </c>
      <c r="I44" s="323">
        <f>SUM(I38:I43)</f>
        <v>696024.07358523365</v>
      </c>
      <c r="J44" s="183"/>
    </row>
    <row r="45" spans="1:10">
      <c r="A45" s="322" t="s">
        <v>506</v>
      </c>
      <c r="B45" s="323">
        <f>+B44</f>
        <v>0</v>
      </c>
      <c r="C45" s="323">
        <f>+C44+B45</f>
        <v>154553.00813649199</v>
      </c>
      <c r="D45" s="323">
        <f t="shared" ref="D45" si="11">+D44+C45</f>
        <v>250909.05564263125</v>
      </c>
      <c r="E45" s="323">
        <f>+E44+D45</f>
        <v>395518.76241169148</v>
      </c>
      <c r="F45" s="323">
        <f t="shared" ref="F45:H45" si="12">+F44+E45</f>
        <v>581175.7188090299</v>
      </c>
      <c r="G45" s="323">
        <f t="shared" si="12"/>
        <v>830418.65281398455</v>
      </c>
      <c r="H45" s="323">
        <f t="shared" si="12"/>
        <v>1098714.0186823849</v>
      </c>
      <c r="I45" s="323">
        <f>+I44+H45</f>
        <v>1794738.0922676185</v>
      </c>
    </row>
    <row r="46" spans="1:10">
      <c r="C46" s="206">
        <f>+C45-ACTIFS!D43</f>
        <v>-8499.9355711024546</v>
      </c>
      <c r="D46" s="3" t="s">
        <v>545</v>
      </c>
    </row>
    <row r="48" spans="1:10" ht="12.75" thickBot="1">
      <c r="A48" s="317"/>
      <c r="B48" s="317">
        <v>2016</v>
      </c>
      <c r="C48" s="317">
        <v>2017</v>
      </c>
      <c r="D48" s="317">
        <v>2018</v>
      </c>
      <c r="E48" s="317">
        <v>2019</v>
      </c>
      <c r="F48" s="317">
        <v>2020</v>
      </c>
      <c r="G48" s="317">
        <v>2021</v>
      </c>
      <c r="H48" s="317">
        <v>2022</v>
      </c>
    </row>
    <row r="49" spans="1:8" ht="12.75" thickTop="1">
      <c r="A49" s="322" t="s">
        <v>544</v>
      </c>
      <c r="B49" s="323">
        <f>+C38+C39+C40</f>
        <v>154553.00813649199</v>
      </c>
      <c r="C49" s="323">
        <f t="shared" ref="C49:H49" si="13">+D38+D39+D40</f>
        <v>166356.04750613926</v>
      </c>
      <c r="D49" s="323">
        <f t="shared" si="13"/>
        <v>214609.7067690602</v>
      </c>
      <c r="E49" s="323">
        <f t="shared" si="13"/>
        <v>255656.95639733845</v>
      </c>
      <c r="F49" s="323">
        <f t="shared" si="13"/>
        <v>319242.93400495464</v>
      </c>
      <c r="G49" s="323">
        <f t="shared" si="13"/>
        <v>338295.36586840026</v>
      </c>
      <c r="H49" s="323">
        <f t="shared" si="13"/>
        <v>359153.21092306491</v>
      </c>
    </row>
    <row r="63" spans="1:8" ht="12.75" thickBot="1">
      <c r="A63" s="346"/>
      <c r="B63" s="351">
        <v>2016</v>
      </c>
      <c r="C63" s="351">
        <v>2017</v>
      </c>
      <c r="D63" s="351">
        <v>2018</v>
      </c>
      <c r="E63" s="351">
        <v>2019</v>
      </c>
      <c r="F63" s="351">
        <v>2020</v>
      </c>
      <c r="G63" s="351">
        <v>2021</v>
      </c>
      <c r="H63" s="351">
        <v>2022</v>
      </c>
    </row>
    <row r="64" spans="1:8" ht="12.75" thickTop="1">
      <c r="A64" s="347" t="s">
        <v>478</v>
      </c>
      <c r="B64" s="302">
        <v>1846791.36</v>
      </c>
      <c r="C64" s="302">
        <v>2123810.0640000002</v>
      </c>
      <c r="D64" s="302">
        <v>2442381.5735999998</v>
      </c>
      <c r="E64" s="302">
        <v>2808738.8096399987</v>
      </c>
      <c r="F64" s="302">
        <v>3230049.6310859998</v>
      </c>
      <c r="G64" s="302">
        <v>3230049.6310859998</v>
      </c>
      <c r="H64" s="302">
        <v>3230049.6310859998</v>
      </c>
    </row>
    <row r="65" spans="1:8">
      <c r="A65" s="347" t="s">
        <v>514</v>
      </c>
      <c r="B65" s="302">
        <v>183982.16347889719</v>
      </c>
      <c r="C65" s="302">
        <v>211579.48800073177</v>
      </c>
      <c r="D65" s="302">
        <v>243316.41120084148</v>
      </c>
      <c r="E65" s="302">
        <v>279813.87288096762</v>
      </c>
      <c r="F65" s="302">
        <v>321785.95381311286</v>
      </c>
      <c r="G65" s="302">
        <v>321785.95381311286</v>
      </c>
      <c r="H65" s="302">
        <v>321785.95381311286</v>
      </c>
    </row>
    <row r="66" spans="1:8">
      <c r="A66" s="347"/>
      <c r="B66" s="348"/>
      <c r="C66" s="348"/>
      <c r="D66" s="348"/>
      <c r="E66" s="348"/>
      <c r="F66" s="348"/>
      <c r="G66" s="348"/>
      <c r="H66" s="348"/>
    </row>
    <row r="67" spans="1:8">
      <c r="A67" s="349" t="s">
        <v>341</v>
      </c>
      <c r="B67" s="350">
        <v>183982.16347889719</v>
      </c>
      <c r="C67" s="350">
        <v>27597.324521834584</v>
      </c>
      <c r="D67" s="350">
        <v>31736.923200109712</v>
      </c>
      <c r="E67" s="350">
        <v>36497.461680126144</v>
      </c>
      <c r="F67" s="350">
        <v>41972.08093214524</v>
      </c>
      <c r="G67" s="350">
        <v>0</v>
      </c>
      <c r="H67" s="350">
        <v>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00B0F0"/>
  </sheetPr>
  <dimension ref="A3:J47"/>
  <sheetViews>
    <sheetView workbookViewId="0">
      <selection activeCell="I14" sqref="I14"/>
    </sheetView>
  </sheetViews>
  <sheetFormatPr baseColWidth="10" defaultRowHeight="12"/>
  <cols>
    <col min="1" max="1" width="32.85546875" style="3" customWidth="1"/>
    <col min="2" max="16384" width="11.42578125" style="3"/>
  </cols>
  <sheetData>
    <row r="3" spans="1:10" ht="12.75" thickBot="1">
      <c r="A3" s="326" t="s">
        <v>166</v>
      </c>
      <c r="B3" s="327">
        <v>1</v>
      </c>
      <c r="C3" s="327">
        <v>2</v>
      </c>
      <c r="D3" s="327">
        <v>3</v>
      </c>
      <c r="E3" s="327">
        <v>4</v>
      </c>
      <c r="F3" s="327">
        <v>5</v>
      </c>
      <c r="G3" s="327">
        <v>6</v>
      </c>
      <c r="H3" s="327">
        <v>7</v>
      </c>
    </row>
    <row r="4" spans="1:10" ht="12.75" thickTop="1">
      <c r="A4" s="328" t="s">
        <v>507</v>
      </c>
      <c r="B4" s="329">
        <f>+'Trésor prévisionnelle'!C44-'Trésor prévisionnelle'!C41</f>
        <v>154553.00813649199</v>
      </c>
      <c r="C4" s="329">
        <f>+'Trésor prévisionnelle'!D44-'Trésor prévisionnelle'!D41</f>
        <v>166356.04750613926</v>
      </c>
      <c r="D4" s="329">
        <f>+'Trésor prévisionnelle'!E44-'Trésor prévisionnelle'!E41</f>
        <v>214609.7067690602</v>
      </c>
      <c r="E4" s="329">
        <f>+'Trésor prévisionnelle'!F44-'Trésor prévisionnelle'!F41</f>
        <v>255656.95639733845</v>
      </c>
      <c r="F4" s="329">
        <f>+'Trésor prévisionnelle'!G44-'Trésor prévisionnelle'!G41</f>
        <v>319242.93400495464</v>
      </c>
      <c r="G4" s="329">
        <f>+'Trésor prévisionnelle'!H44-'Trésor prévisionnelle'!H41</f>
        <v>338295.36586840026</v>
      </c>
      <c r="H4" s="329">
        <f>+'Trésor prévisionnelle'!I44-'Trésor prévisionnelle'!I41</f>
        <v>766024.07358523365</v>
      </c>
    </row>
    <row r="5" spans="1:10">
      <c r="A5" s="330" t="s">
        <v>167</v>
      </c>
      <c r="B5" s="331">
        <f t="shared" ref="B5:H5" si="0">+B4/B22</f>
        <v>140502.73466953816</v>
      </c>
      <c r="C5" s="331">
        <f t="shared" si="0"/>
        <v>137484.33678193326</v>
      </c>
      <c r="D5" s="331">
        <f t="shared" si="0"/>
        <v>161239.44911274241</v>
      </c>
      <c r="E5" s="331">
        <f t="shared" si="0"/>
        <v>174617.14117706328</v>
      </c>
      <c r="F5" s="331">
        <f t="shared" si="0"/>
        <v>198224.74495964291</v>
      </c>
      <c r="G5" s="331">
        <f t="shared" si="0"/>
        <v>190958.91469071631</v>
      </c>
      <c r="H5" s="331">
        <f t="shared" si="0"/>
        <v>393091.47212041868</v>
      </c>
      <c r="I5" s="75"/>
      <c r="J5" s="75"/>
    </row>
    <row r="6" spans="1:10">
      <c r="A6" s="332" t="s">
        <v>168</v>
      </c>
      <c r="B6" s="333">
        <f>+B5</f>
        <v>140502.73466953816</v>
      </c>
      <c r="C6" s="333">
        <f>+C5+B6</f>
        <v>277987.07145147142</v>
      </c>
      <c r="D6" s="333">
        <f>+D5+C6</f>
        <v>439226.52056421386</v>
      </c>
      <c r="E6" s="333">
        <f>+E5+D6</f>
        <v>613843.6617412772</v>
      </c>
      <c r="F6" s="333">
        <f>+F5+E6</f>
        <v>812068.40670092008</v>
      </c>
      <c r="G6" s="333">
        <f t="shared" ref="G6" si="1">+G5+F6</f>
        <v>1003027.3213916364</v>
      </c>
      <c r="H6" s="333">
        <f>+H5+G6</f>
        <v>1396118.7935120552</v>
      </c>
      <c r="I6" s="75"/>
    </row>
    <row r="9" spans="1:10">
      <c r="A9" s="3" t="s">
        <v>510</v>
      </c>
    </row>
    <row r="10" spans="1:10" ht="24.75" thickBot="1">
      <c r="A10" s="317"/>
      <c r="B10" s="317" t="s">
        <v>539</v>
      </c>
      <c r="C10" s="317">
        <v>2016</v>
      </c>
      <c r="D10" s="317">
        <v>2017</v>
      </c>
      <c r="E10" s="317">
        <v>2018</v>
      </c>
      <c r="F10" s="317">
        <v>2019</v>
      </c>
      <c r="G10" s="317">
        <v>2020</v>
      </c>
      <c r="H10" s="317">
        <v>2021</v>
      </c>
      <c r="I10" s="317">
        <v>2022</v>
      </c>
    </row>
    <row r="11" spans="1:10" ht="12.75" thickTop="1">
      <c r="A11" s="318" t="s">
        <v>487</v>
      </c>
      <c r="B11" s="316">
        <f>+Investissements!C32</f>
        <v>600000.06442889711</v>
      </c>
      <c r="C11" s="319"/>
      <c r="D11" s="320"/>
      <c r="E11" s="320"/>
      <c r="F11" s="320"/>
      <c r="G11" s="320"/>
      <c r="H11" s="320"/>
      <c r="I11" s="320"/>
    </row>
    <row r="12" spans="1:10">
      <c r="A12" s="318"/>
      <c r="B12" s="316"/>
      <c r="C12" s="319"/>
      <c r="D12" s="320"/>
      <c r="E12" s="320"/>
      <c r="F12" s="320"/>
      <c r="G12" s="320"/>
      <c r="H12" s="320"/>
      <c r="I12" s="320"/>
    </row>
    <row r="13" spans="1:10">
      <c r="A13" s="324" t="s">
        <v>508</v>
      </c>
      <c r="B13" s="325"/>
      <c r="C13" s="325">
        <f>+C36</f>
        <v>154553.00813649199</v>
      </c>
      <c r="D13" s="325">
        <f t="shared" ref="D13:H13" si="2">+D36</f>
        <v>166356.04750613926</v>
      </c>
      <c r="E13" s="325">
        <f t="shared" si="2"/>
        <v>214609.70676906023</v>
      </c>
      <c r="F13" s="325">
        <f t="shared" si="2"/>
        <v>255656.95639733848</v>
      </c>
      <c r="G13" s="325">
        <f t="shared" si="2"/>
        <v>319242.93400495464</v>
      </c>
      <c r="H13" s="325">
        <f t="shared" si="2"/>
        <v>338295.36586840026</v>
      </c>
      <c r="I13" s="325">
        <f>+I36</f>
        <v>359153.21092306491</v>
      </c>
    </row>
    <row r="14" spans="1:10">
      <c r="A14" s="324" t="s">
        <v>504</v>
      </c>
      <c r="B14" s="325"/>
      <c r="C14" s="325"/>
      <c r="D14" s="325"/>
      <c r="E14" s="325"/>
      <c r="F14" s="325"/>
      <c r="G14" s="325"/>
      <c r="H14" s="325"/>
      <c r="I14" s="325">
        <f>+'Trésor prévisionnelle'!I42</f>
        <v>88670.369999999966</v>
      </c>
    </row>
    <row r="15" spans="1:10">
      <c r="A15" s="324" t="s">
        <v>499</v>
      </c>
      <c r="B15" s="325"/>
      <c r="C15" s="325"/>
      <c r="D15" s="325"/>
      <c r="E15" s="325"/>
      <c r="F15" s="325"/>
      <c r="G15" s="325"/>
      <c r="H15" s="325"/>
      <c r="I15" s="325">
        <f>+'Trésor prévisionnelle'!I43</f>
        <v>318200.49266216881</v>
      </c>
    </row>
    <row r="16" spans="1:10">
      <c r="A16" s="324"/>
      <c r="B16" s="325"/>
      <c r="C16" s="325"/>
      <c r="D16" s="325"/>
      <c r="E16" s="325"/>
      <c r="F16" s="325"/>
      <c r="G16" s="325"/>
      <c r="H16" s="325"/>
      <c r="I16" s="325"/>
    </row>
    <row r="17" spans="1:10">
      <c r="A17" s="322" t="s">
        <v>537</v>
      </c>
      <c r="B17" s="323"/>
      <c r="C17" s="323">
        <f t="shared" ref="C17:I17" si="3">+B5</f>
        <v>140502.73466953816</v>
      </c>
      <c r="D17" s="323">
        <f t="shared" si="3"/>
        <v>137484.33678193326</v>
      </c>
      <c r="E17" s="323">
        <f t="shared" si="3"/>
        <v>161239.44911274241</v>
      </c>
      <c r="F17" s="323">
        <f t="shared" si="3"/>
        <v>174617.14117706328</v>
      </c>
      <c r="G17" s="323">
        <f t="shared" si="3"/>
        <v>198224.74495964291</v>
      </c>
      <c r="H17" s="323">
        <f t="shared" si="3"/>
        <v>190958.91469071631</v>
      </c>
      <c r="I17" s="323">
        <f t="shared" si="3"/>
        <v>393091.47212041868</v>
      </c>
    </row>
    <row r="18" spans="1:10">
      <c r="A18" s="322" t="s">
        <v>538</v>
      </c>
      <c r="B18" s="323"/>
      <c r="C18" s="323">
        <f>+C17</f>
        <v>140502.73466953816</v>
      </c>
      <c r="D18" s="323">
        <f>+C18+D17</f>
        <v>277987.07145147142</v>
      </c>
      <c r="E18" s="323">
        <f t="shared" ref="E18:H18" si="4">+D18+E17</f>
        <v>439226.52056421386</v>
      </c>
      <c r="F18" s="323">
        <f>+E18+F17</f>
        <v>613843.6617412772</v>
      </c>
      <c r="G18" s="323">
        <f>+F18+G17</f>
        <v>812068.40670092008</v>
      </c>
      <c r="H18" s="323">
        <f t="shared" si="4"/>
        <v>1003027.3213916364</v>
      </c>
      <c r="I18" s="323">
        <f>+H18+I17</f>
        <v>1396118.7935120552</v>
      </c>
      <c r="J18" s="75">
        <f>+I18-B11</f>
        <v>796118.72908315808</v>
      </c>
    </row>
    <row r="21" spans="1:10">
      <c r="A21" s="3" t="s">
        <v>509</v>
      </c>
      <c r="B21" s="20"/>
    </row>
    <row r="22" spans="1:10" hidden="1">
      <c r="B22" s="3">
        <v>1.1000000000000001</v>
      </c>
      <c r="C22" s="3">
        <f>+B22*A23</f>
        <v>1.2100000000000002</v>
      </c>
      <c r="D22" s="3">
        <f>+C22*A23</f>
        <v>1.3310000000000004</v>
      </c>
      <c r="E22" s="3">
        <f>+D22*A23</f>
        <v>1.4641000000000006</v>
      </c>
      <c r="F22" s="3">
        <f>+E22*A23</f>
        <v>1.6105100000000008</v>
      </c>
      <c r="G22" s="3">
        <f>+F22*A23</f>
        <v>1.7715610000000011</v>
      </c>
      <c r="H22" s="3">
        <f>+G22*A23</f>
        <v>1.9487171000000014</v>
      </c>
    </row>
    <row r="23" spans="1:10" hidden="1">
      <c r="A23" s="3">
        <v>1.1000000000000001</v>
      </c>
    </row>
    <row r="24" spans="1:10" hidden="1">
      <c r="B24" s="75">
        <f t="shared" ref="B24:H24" si="5">+B4/B22</f>
        <v>140502.73466953816</v>
      </c>
      <c r="C24" s="75">
        <f t="shared" si="5"/>
        <v>137484.33678193326</v>
      </c>
      <c r="D24" s="75">
        <f t="shared" si="5"/>
        <v>161239.44911274241</v>
      </c>
      <c r="E24" s="75">
        <f t="shared" si="5"/>
        <v>174617.14117706328</v>
      </c>
      <c r="F24" s="75">
        <f t="shared" si="5"/>
        <v>198224.74495964291</v>
      </c>
      <c r="G24" s="75">
        <f t="shared" si="5"/>
        <v>190958.91469071631</v>
      </c>
      <c r="H24" s="75">
        <f t="shared" si="5"/>
        <v>393091.47212041868</v>
      </c>
      <c r="J24" s="75">
        <f>SUM(B24:F24)</f>
        <v>812068.40670092008</v>
      </c>
    </row>
    <row r="25" spans="1:10" hidden="1">
      <c r="J25" s="75" t="e">
        <f>+J24-#REF!</f>
        <v>#REF!</v>
      </c>
    </row>
    <row r="26" spans="1:10" hidden="1"/>
    <row r="27" spans="1:10" hidden="1"/>
    <row r="28" spans="1:10" hidden="1">
      <c r="B28" s="3">
        <v>1.1000000000000001</v>
      </c>
      <c r="C28" s="3">
        <f>+B28^2</f>
        <v>1.2100000000000002</v>
      </c>
      <c r="D28" s="3">
        <f>+B28^3</f>
        <v>1.3310000000000004</v>
      </c>
      <c r="E28" s="3">
        <f>+B28^4</f>
        <v>1.4641000000000004</v>
      </c>
      <c r="F28" s="3">
        <f>+B28^5</f>
        <v>1.6105100000000006</v>
      </c>
      <c r="G28" s="3">
        <f>+B28^6</f>
        <v>1.7715610000000008</v>
      </c>
      <c r="H28" s="3">
        <f>+B28^7</f>
        <v>1.9487171000000012</v>
      </c>
    </row>
    <row r="29" spans="1:10" ht="24.75" thickBot="1">
      <c r="A29" s="317"/>
      <c r="B29" s="317" t="s">
        <v>493</v>
      </c>
      <c r="C29" s="317">
        <v>2016</v>
      </c>
      <c r="D29" s="317">
        <v>2017</v>
      </c>
      <c r="E29" s="317">
        <v>2018</v>
      </c>
      <c r="F29" s="317">
        <v>2019</v>
      </c>
      <c r="G29" s="317">
        <v>2020</v>
      </c>
      <c r="H29" s="317">
        <v>2021</v>
      </c>
      <c r="I29" s="317">
        <v>2022</v>
      </c>
    </row>
    <row r="30" spans="1:10" ht="12.75" thickTop="1">
      <c r="A30" s="318" t="s">
        <v>487</v>
      </c>
      <c r="B30" s="316">
        <f>+Investissements!C32</f>
        <v>600000.06442889711</v>
      </c>
      <c r="C30" s="319"/>
      <c r="D30" s="320"/>
      <c r="E30" s="320"/>
      <c r="F30" s="320"/>
      <c r="G30" s="320"/>
      <c r="H30" s="320"/>
      <c r="I30" s="320"/>
    </row>
    <row r="31" spans="1:10">
      <c r="A31" s="319" t="s">
        <v>484</v>
      </c>
      <c r="B31" s="319"/>
      <c r="C31" s="321">
        <f>+'Trésor prévisionnelle'!C38</f>
        <v>98763.568136491987</v>
      </c>
      <c r="D31" s="321">
        <f>+'Trésor prévisionnelle'!D38</f>
        <v>137856.43217047385</v>
      </c>
      <c r="E31" s="321">
        <f>+'Trésor prévisionnelle'!E38</f>
        <v>190201.51513304492</v>
      </c>
      <c r="F31" s="321">
        <f>+'Trésor prévisionnelle'!F38</f>
        <v>242790.95951592084</v>
      </c>
      <c r="G31" s="321">
        <f>+'Trésor prévisionnelle'!G38</f>
        <v>311790.55609132466</v>
      </c>
      <c r="H31" s="321">
        <f>+'Trésor prévisionnelle'!H38</f>
        <v>308738.57586840028</v>
      </c>
      <c r="I31" s="321">
        <f>+'Trésor prévisionnelle'!I38</f>
        <v>329596.42092306493</v>
      </c>
    </row>
    <row r="32" spans="1:10">
      <c r="A32" s="319" t="s">
        <v>485</v>
      </c>
      <c r="B32" s="319"/>
      <c r="C32" s="321">
        <f>+'Trésor prévisionnelle'!C39</f>
        <v>55789.440000000002</v>
      </c>
      <c r="D32" s="321">
        <f>+'Trésor prévisionnelle'!D39</f>
        <v>55789.440000000002</v>
      </c>
      <c r="E32" s="321">
        <f>+'Trésor prévisionnelle'!E39</f>
        <v>55791.490000000005</v>
      </c>
      <c r="F32" s="321">
        <f>+'Trésor prévisionnelle'!F39</f>
        <v>48956.79</v>
      </c>
      <c r="G32" s="321">
        <f>+'Trésor prévisionnelle'!G39</f>
        <v>48956.79</v>
      </c>
      <c r="H32" s="321">
        <f>+'Trésor prévisionnelle'!H39</f>
        <v>29556.79</v>
      </c>
      <c r="I32" s="321">
        <f>+'Trésor prévisionnelle'!I39</f>
        <v>29556.79</v>
      </c>
    </row>
    <row r="33" spans="1:9">
      <c r="A33" s="319" t="s">
        <v>483</v>
      </c>
      <c r="B33" s="321"/>
      <c r="C33" s="321">
        <v>0</v>
      </c>
      <c r="D33" s="321">
        <f>+'Trésor prévisionnelle'!D40</f>
        <v>-27289.824664334592</v>
      </c>
      <c r="E33" s="321">
        <f>+'Trésor prévisionnelle'!E40</f>
        <v>-31383.298363984708</v>
      </c>
      <c r="F33" s="321">
        <f>+'Trésor prévisionnelle'!F40</f>
        <v>-36090.793118582369</v>
      </c>
      <c r="G33" s="321">
        <f>+'Trésor prévisionnelle'!G40</f>
        <v>-41504.412086369994</v>
      </c>
      <c r="H33" s="321">
        <f>+'Trésor prévisionnelle'!H40</f>
        <v>0</v>
      </c>
      <c r="I33" s="321">
        <f>+'Trésor prévisionnelle'!I40</f>
        <v>0</v>
      </c>
    </row>
    <row r="34" spans="1:9" hidden="1">
      <c r="A34" s="319" t="s">
        <v>504</v>
      </c>
      <c r="B34" s="319"/>
      <c r="C34" s="321"/>
      <c r="D34" s="321"/>
      <c r="E34" s="321"/>
      <c r="F34" s="321"/>
      <c r="G34" s="321"/>
      <c r="H34" s="321"/>
      <c r="I34" s="321">
        <f>+'Trésor prévisionnelle'!I42</f>
        <v>88670.369999999966</v>
      </c>
    </row>
    <row r="35" spans="1:9" hidden="1">
      <c r="A35" s="319" t="s">
        <v>499</v>
      </c>
      <c r="B35" s="321"/>
      <c r="C35" s="321"/>
      <c r="D35" s="321"/>
      <c r="E35" s="321"/>
      <c r="F35" s="321"/>
      <c r="G35" s="321"/>
      <c r="H35" s="321"/>
      <c r="I35" s="321">
        <f>+'Trésor prévisionnelle'!I43</f>
        <v>318200.49266216881</v>
      </c>
    </row>
    <row r="36" spans="1:9">
      <c r="A36" s="322" t="s">
        <v>505</v>
      </c>
      <c r="B36" s="323"/>
      <c r="C36" s="323">
        <f>+C33+C32+C31</f>
        <v>154553.00813649199</v>
      </c>
      <c r="D36" s="323">
        <f t="shared" ref="D36:I36" si="6">+D33+D32+D31</f>
        <v>166356.04750613926</v>
      </c>
      <c r="E36" s="323">
        <f t="shared" si="6"/>
        <v>214609.70676906023</v>
      </c>
      <c r="F36" s="323">
        <f t="shared" si="6"/>
        <v>255656.95639733848</v>
      </c>
      <c r="G36" s="323">
        <f t="shared" si="6"/>
        <v>319242.93400495464</v>
      </c>
      <c r="H36" s="323">
        <f t="shared" si="6"/>
        <v>338295.36586840026</v>
      </c>
      <c r="I36" s="323">
        <f t="shared" si="6"/>
        <v>359153.21092306491</v>
      </c>
    </row>
    <row r="37" spans="1:9">
      <c r="A37" s="322" t="s">
        <v>506</v>
      </c>
      <c r="B37" s="323">
        <v>0</v>
      </c>
      <c r="C37" s="323">
        <f>+C36</f>
        <v>154553.00813649199</v>
      </c>
      <c r="D37" s="323">
        <f>+D36+C37</f>
        <v>320909.05564263125</v>
      </c>
      <c r="E37" s="323">
        <f t="shared" ref="E37:I37" si="7">+E36+D37</f>
        <v>535518.76241169148</v>
      </c>
      <c r="F37" s="323">
        <f t="shared" si="7"/>
        <v>791175.71880903002</v>
      </c>
      <c r="G37" s="323">
        <f t="shared" si="7"/>
        <v>1110418.6528139845</v>
      </c>
      <c r="H37" s="323">
        <f t="shared" si="7"/>
        <v>1448714.0186823849</v>
      </c>
      <c r="I37" s="323">
        <f t="shared" si="7"/>
        <v>1807867.2296054498</v>
      </c>
    </row>
    <row r="39" spans="1:9">
      <c r="A39" s="3" t="s">
        <v>540</v>
      </c>
    </row>
    <row r="40" spans="1:9" ht="24.75" thickBot="1">
      <c r="A40" s="317"/>
      <c r="B40" s="317" t="s">
        <v>539</v>
      </c>
      <c r="C40" s="317">
        <v>2016</v>
      </c>
      <c r="D40" s="317">
        <v>2017</v>
      </c>
      <c r="E40" s="317">
        <v>2018</v>
      </c>
      <c r="F40" s="317">
        <v>2019</v>
      </c>
      <c r="G40" s="317">
        <v>2020</v>
      </c>
      <c r="H40" s="317">
        <v>2021</v>
      </c>
      <c r="I40" s="317">
        <v>2022</v>
      </c>
    </row>
    <row r="41" spans="1:9" ht="12.75" thickTop="1">
      <c r="A41" s="318" t="s">
        <v>487</v>
      </c>
      <c r="B41" s="316">
        <f>+B11</f>
        <v>600000.06442889711</v>
      </c>
      <c r="C41" s="319"/>
      <c r="D41" s="320"/>
      <c r="E41" s="320"/>
      <c r="F41" s="320"/>
      <c r="G41" s="320"/>
      <c r="H41" s="320"/>
      <c r="I41" s="320"/>
    </row>
    <row r="42" spans="1:9">
      <c r="A42" s="318"/>
      <c r="B42" s="316"/>
      <c r="C42" s="319"/>
      <c r="D42" s="320"/>
      <c r="E42" s="320"/>
      <c r="F42" s="320"/>
      <c r="G42" s="320"/>
      <c r="H42" s="320"/>
      <c r="I42" s="320"/>
    </row>
    <row r="43" spans="1:9">
      <c r="A43" s="324" t="s">
        <v>508</v>
      </c>
      <c r="B43" s="325"/>
      <c r="C43" s="325">
        <f t="shared" ref="C43:I43" si="8">+C13</f>
        <v>154553.00813649199</v>
      </c>
      <c r="D43" s="325">
        <f t="shared" si="8"/>
        <v>166356.04750613926</v>
      </c>
      <c r="E43" s="325">
        <f t="shared" si="8"/>
        <v>214609.70676906023</v>
      </c>
      <c r="F43" s="325">
        <f t="shared" si="8"/>
        <v>255656.95639733848</v>
      </c>
      <c r="G43" s="325">
        <f t="shared" si="8"/>
        <v>319242.93400495464</v>
      </c>
      <c r="H43" s="325">
        <f t="shared" si="8"/>
        <v>338295.36586840026</v>
      </c>
      <c r="I43" s="325">
        <f t="shared" si="8"/>
        <v>359153.21092306491</v>
      </c>
    </row>
    <row r="44" spans="1:9">
      <c r="A44" s="324" t="s">
        <v>504</v>
      </c>
      <c r="B44" s="325"/>
      <c r="C44" s="325"/>
      <c r="D44" s="325"/>
      <c r="E44" s="325"/>
      <c r="F44" s="325"/>
      <c r="G44" s="325"/>
      <c r="H44" s="325"/>
      <c r="I44" s="325">
        <f>+I14</f>
        <v>88670.369999999966</v>
      </c>
    </row>
    <row r="45" spans="1:9">
      <c r="A45" s="324" t="s">
        <v>499</v>
      </c>
      <c r="B45" s="325"/>
      <c r="C45" s="325"/>
      <c r="D45" s="325"/>
      <c r="E45" s="325"/>
      <c r="F45" s="325"/>
      <c r="G45" s="325"/>
      <c r="H45" s="325"/>
      <c r="I45" s="325">
        <f>+I15</f>
        <v>318200.49266216881</v>
      </c>
    </row>
    <row r="46" spans="1:9">
      <c r="A46" s="324"/>
      <c r="B46" s="325"/>
      <c r="C46" s="325"/>
      <c r="D46" s="325"/>
      <c r="E46" s="325"/>
      <c r="F46" s="325"/>
      <c r="G46" s="325"/>
      <c r="H46" s="325"/>
      <c r="I46" s="325"/>
    </row>
    <row r="47" spans="1:9">
      <c r="A47" s="322" t="s">
        <v>541</v>
      </c>
      <c r="B47" s="323"/>
      <c r="C47" s="323">
        <f t="shared" ref="C47:I47" si="9">SUM(C41:C46)</f>
        <v>154553.00813649199</v>
      </c>
      <c r="D47" s="323">
        <f t="shared" si="9"/>
        <v>166356.04750613926</v>
      </c>
      <c r="E47" s="323">
        <f t="shared" si="9"/>
        <v>214609.70676906023</v>
      </c>
      <c r="F47" s="323">
        <f t="shared" si="9"/>
        <v>255656.95639733848</v>
      </c>
      <c r="G47" s="323">
        <f t="shared" si="9"/>
        <v>319242.93400495464</v>
      </c>
      <c r="H47" s="323">
        <f t="shared" si="9"/>
        <v>338295.36586840026</v>
      </c>
      <c r="I47" s="323">
        <f t="shared" si="9"/>
        <v>766024.07358523365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2:I25"/>
  <sheetViews>
    <sheetView workbookViewId="0">
      <selection activeCell="A23" sqref="A23:I25"/>
    </sheetView>
  </sheetViews>
  <sheetFormatPr baseColWidth="10" defaultRowHeight="12"/>
  <cols>
    <col min="1" max="1" width="37.140625" style="3" customWidth="1"/>
    <col min="2" max="16384" width="11.42578125" style="3"/>
  </cols>
  <sheetData>
    <row r="2" spans="1:9" ht="12.75" thickBot="1"/>
    <row r="3" spans="1:9" ht="13.5" thickTop="1" thickBot="1">
      <c r="A3" s="76" t="s">
        <v>61</v>
      </c>
      <c r="B3" s="76">
        <v>2016</v>
      </c>
      <c r="C3" s="76">
        <v>2017</v>
      </c>
      <c r="D3" s="76">
        <v>2018</v>
      </c>
      <c r="E3" s="76">
        <v>2019</v>
      </c>
      <c r="F3" s="76">
        <v>2020</v>
      </c>
      <c r="G3" s="76">
        <v>2021</v>
      </c>
      <c r="H3" s="76">
        <v>2022</v>
      </c>
      <c r="I3" s="76" t="s">
        <v>59</v>
      </c>
    </row>
    <row r="4" spans="1:9" s="6" customFormat="1" ht="13.5" thickTop="1" thickBot="1">
      <c r="A4" s="77" t="s">
        <v>169</v>
      </c>
      <c r="B4" s="78">
        <f>+Emprunt!L29</f>
        <v>34860</v>
      </c>
      <c r="C4" s="78">
        <f>+Emprunt!L30</f>
        <v>32681.25</v>
      </c>
      <c r="D4" s="78">
        <f>+Emprunt!L31</f>
        <v>26871.25</v>
      </c>
      <c r="E4" s="78">
        <f>+Emprunt!L32</f>
        <v>21061.25</v>
      </c>
      <c r="F4" s="78">
        <f>+Emprunt!L33</f>
        <v>15251.25</v>
      </c>
      <c r="G4" s="78">
        <f>+Emprunt!L34</f>
        <v>9441.25</v>
      </c>
      <c r="H4" s="78">
        <f>+Emprunt!L35</f>
        <v>3631.25</v>
      </c>
      <c r="I4" s="78">
        <f>SUM(B4:H4)</f>
        <v>143797.5</v>
      </c>
    </row>
    <row r="5" spans="1:9" ht="13.5" thickTop="1" thickBot="1">
      <c r="A5" s="79" t="s">
        <v>59</v>
      </c>
      <c r="B5" s="80">
        <f>SUM(B4:B4)</f>
        <v>34860</v>
      </c>
      <c r="C5" s="80">
        <f>SUM(C4:C4)</f>
        <v>32681.25</v>
      </c>
      <c r="D5" s="80">
        <f>SUM(D4:D4)</f>
        <v>26871.25</v>
      </c>
      <c r="E5" s="80">
        <f t="shared" ref="E5:F5" si="0">SUM(E4:E4)</f>
        <v>21061.25</v>
      </c>
      <c r="F5" s="80">
        <f t="shared" si="0"/>
        <v>15251.25</v>
      </c>
      <c r="G5" s="80"/>
      <c r="H5" s="80"/>
      <c r="I5" s="113">
        <f>SUM(I4:I4)</f>
        <v>143797.5</v>
      </c>
    </row>
    <row r="6" spans="1:9" ht="12.75" thickTop="1"/>
    <row r="10" spans="1:9" ht="12.75" thickBot="1"/>
    <row r="11" spans="1:9" ht="12.75" thickTop="1">
      <c r="A11" s="81" t="s">
        <v>170</v>
      </c>
      <c r="B11" s="241">
        <v>420000</v>
      </c>
    </row>
    <row r="12" spans="1:9">
      <c r="A12" s="82" t="s">
        <v>171</v>
      </c>
      <c r="B12" s="242">
        <v>8.3000000000000004E-2</v>
      </c>
    </row>
    <row r="13" spans="1:9">
      <c r="A13" s="82" t="s">
        <v>172</v>
      </c>
      <c r="B13" s="243" t="s">
        <v>370</v>
      </c>
    </row>
    <row r="14" spans="1:9">
      <c r="A14" s="240" t="s">
        <v>440</v>
      </c>
      <c r="B14" s="244" t="s">
        <v>496</v>
      </c>
    </row>
    <row r="15" spans="1:9">
      <c r="A15" s="82" t="s">
        <v>369</v>
      </c>
      <c r="B15" s="245">
        <f>+Emprunt!F12</f>
        <v>17500</v>
      </c>
    </row>
    <row r="16" spans="1:9">
      <c r="A16" s="82" t="s">
        <v>443</v>
      </c>
      <c r="B16" s="246">
        <v>42736</v>
      </c>
    </row>
    <row r="17" spans="1:9" ht="12.75" thickBot="1">
      <c r="A17" s="83" t="s">
        <v>173</v>
      </c>
      <c r="B17" s="247">
        <f>+I4</f>
        <v>143797.5</v>
      </c>
    </row>
    <row r="18" spans="1:9" ht="12.75" thickTop="1"/>
    <row r="23" spans="1:9" ht="12.75" thickBot="1">
      <c r="A23" s="397" t="s">
        <v>61</v>
      </c>
      <c r="B23" s="395">
        <v>2016</v>
      </c>
      <c r="C23" s="395">
        <v>2017</v>
      </c>
      <c r="D23" s="395">
        <v>2018</v>
      </c>
      <c r="E23" s="395">
        <v>2019</v>
      </c>
      <c r="F23" s="395">
        <v>2020</v>
      </c>
      <c r="G23" s="395">
        <v>2021</v>
      </c>
      <c r="H23" s="395">
        <v>2022</v>
      </c>
      <c r="I23" s="395" t="s">
        <v>59</v>
      </c>
    </row>
    <row r="24" spans="1:9" ht="12.75" thickTop="1">
      <c r="A24" s="446" t="s">
        <v>525</v>
      </c>
      <c r="B24" s="447">
        <v>34860</v>
      </c>
      <c r="C24" s="447">
        <v>32681.25</v>
      </c>
      <c r="D24" s="447">
        <v>26871.25</v>
      </c>
      <c r="E24" s="447">
        <v>21061.25</v>
      </c>
      <c r="F24" s="447">
        <v>15251.25</v>
      </c>
      <c r="G24" s="447">
        <v>9441.25</v>
      </c>
      <c r="H24" s="447">
        <v>3631.25</v>
      </c>
      <c r="I24" s="447">
        <v>143797.5</v>
      </c>
    </row>
    <row r="25" spans="1:9">
      <c r="A25" s="396" t="s">
        <v>59</v>
      </c>
      <c r="B25" s="445">
        <f>+B24</f>
        <v>34860</v>
      </c>
      <c r="C25" s="445">
        <f t="shared" ref="C25:H25" si="1">+C24</f>
        <v>32681.25</v>
      </c>
      <c r="D25" s="445">
        <f t="shared" si="1"/>
        <v>26871.25</v>
      </c>
      <c r="E25" s="445">
        <f t="shared" si="1"/>
        <v>21061.25</v>
      </c>
      <c r="F25" s="445">
        <f t="shared" si="1"/>
        <v>15251.25</v>
      </c>
      <c r="G25" s="445">
        <f t="shared" si="1"/>
        <v>9441.25</v>
      </c>
      <c r="H25" s="445">
        <f t="shared" si="1"/>
        <v>3631.25</v>
      </c>
      <c r="I25" s="445">
        <f>+I24</f>
        <v>143797.5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32"/>
  <sheetViews>
    <sheetView topLeftCell="B1" workbookViewId="0">
      <selection activeCell="G24" sqref="G24:P32"/>
    </sheetView>
  </sheetViews>
  <sheetFormatPr baseColWidth="10" defaultRowHeight="12"/>
  <cols>
    <col min="1" max="1" width="3.7109375" style="84" hidden="1" customWidth="1"/>
    <col min="2" max="2" width="36.7109375" style="84" customWidth="1"/>
    <col min="3" max="10" width="12.7109375" style="84" customWidth="1"/>
    <col min="11" max="16384" width="11.42578125" style="84"/>
  </cols>
  <sheetData>
    <row r="1" spans="2:10">
      <c r="B1" s="504" t="s">
        <v>174</v>
      </c>
      <c r="C1" s="504"/>
      <c r="D1" s="504"/>
      <c r="E1" s="504"/>
      <c r="F1" s="504"/>
      <c r="G1" s="504"/>
    </row>
    <row r="2" spans="2:10">
      <c r="F2" s="85"/>
      <c r="G2" s="86"/>
      <c r="H2" s="86"/>
      <c r="I2" s="86"/>
      <c r="J2" s="86"/>
    </row>
    <row r="3" spans="2:10" s="89" customFormat="1">
      <c r="B3" s="87" t="s">
        <v>175</v>
      </c>
      <c r="C3" s="88">
        <v>0</v>
      </c>
      <c r="D3" s="88">
        <v>1</v>
      </c>
      <c r="E3" s="88">
        <v>2</v>
      </c>
      <c r="F3" s="88">
        <v>3</v>
      </c>
      <c r="G3" s="88">
        <v>4</v>
      </c>
      <c r="H3" s="88">
        <v>5</v>
      </c>
      <c r="I3" s="88">
        <v>6</v>
      </c>
      <c r="J3" s="88">
        <v>7</v>
      </c>
    </row>
    <row r="4" spans="2:10">
      <c r="B4" s="90" t="s">
        <v>176</v>
      </c>
      <c r="C4" s="280">
        <f>-Investissements!C32</f>
        <v>-600000.06442889711</v>
      </c>
      <c r="D4" s="91">
        <f>+VAN!C47</f>
        <v>154553.00813649199</v>
      </c>
      <c r="E4" s="91">
        <f>+VAN!D47</f>
        <v>166356.04750613926</v>
      </c>
      <c r="F4" s="91">
        <f>+VAN!E47</f>
        <v>214609.70676906023</v>
      </c>
      <c r="G4" s="91">
        <f>+VAN!F47</f>
        <v>255656.95639733848</v>
      </c>
      <c r="H4" s="91">
        <f>+VAN!G47</f>
        <v>319242.93400495464</v>
      </c>
      <c r="I4" s="91">
        <f>+VAN!H47</f>
        <v>338295.36586840026</v>
      </c>
      <c r="J4" s="91">
        <f>+VAN!I47</f>
        <v>766024.07358523365</v>
      </c>
    </row>
    <row r="5" spans="2:10">
      <c r="B5" s="92" t="s">
        <v>177</v>
      </c>
      <c r="C5" s="93"/>
      <c r="D5" s="94">
        <f>IF(D4="","",D4)</f>
        <v>154553.00813649199</v>
      </c>
      <c r="E5" s="94">
        <f>IF(E4="","",D5+E4)</f>
        <v>320909.05564263125</v>
      </c>
      <c r="F5" s="94">
        <f t="shared" ref="F5:J5" si="0">IF(F4="","",E5+F4)</f>
        <v>535518.76241169148</v>
      </c>
      <c r="G5" s="94">
        <f t="shared" si="0"/>
        <v>791175.71880903002</v>
      </c>
      <c r="H5" s="94">
        <f t="shared" si="0"/>
        <v>1110418.6528139845</v>
      </c>
      <c r="I5" s="94">
        <f t="shared" si="0"/>
        <v>1448714.0186823849</v>
      </c>
      <c r="J5" s="94">
        <f t="shared" si="0"/>
        <v>2214738.0922676185</v>
      </c>
    </row>
    <row r="7" spans="2:10">
      <c r="B7" s="95" t="s">
        <v>178</v>
      </c>
      <c r="C7" s="96" t="s">
        <v>179</v>
      </c>
      <c r="D7" s="97">
        <f>IF(H4="","",IRR(C4:J4))</f>
        <v>0.34444371181688122</v>
      </c>
    </row>
    <row r="8" spans="2:10">
      <c r="B8" s="95"/>
      <c r="C8" s="98"/>
      <c r="H8" s="281"/>
    </row>
    <row r="9" spans="2:10">
      <c r="B9" s="95" t="s">
        <v>180</v>
      </c>
      <c r="C9" s="96" t="s">
        <v>179</v>
      </c>
      <c r="D9" s="99">
        <f>IF(G4="","",NPV(10%,D4,E4,F4,G4,H4,I4,J4)+C4)</f>
        <v>796118.72908315808</v>
      </c>
      <c r="G9" s="281"/>
      <c r="H9" s="282"/>
    </row>
    <row r="10" spans="2:10">
      <c r="B10" s="86"/>
      <c r="G10" s="281"/>
    </row>
    <row r="11" spans="2:10">
      <c r="B11" s="95" t="s">
        <v>181</v>
      </c>
      <c r="C11" s="96" t="s">
        <v>179</v>
      </c>
      <c r="D11" s="100">
        <f>IF(G4="","",IF(-C4&gt;E5,E3,""))</f>
        <v>2</v>
      </c>
      <c r="E11" s="101" t="s">
        <v>182</v>
      </c>
      <c r="G11" s="282"/>
    </row>
    <row r="12" spans="2:10">
      <c r="B12" s="95"/>
      <c r="D12" s="102">
        <v>11</v>
      </c>
      <c r="E12" s="103" t="s">
        <v>183</v>
      </c>
      <c r="G12" s="282"/>
    </row>
    <row r="13" spans="2:10">
      <c r="B13" s="95"/>
      <c r="D13" s="104">
        <v>0</v>
      </c>
      <c r="E13" s="105" t="s">
        <v>184</v>
      </c>
    </row>
    <row r="14" spans="2:10">
      <c r="B14" s="95"/>
    </row>
    <row r="15" spans="2:10">
      <c r="B15" s="95" t="s">
        <v>185</v>
      </c>
      <c r="C15" s="96" t="s">
        <v>179</v>
      </c>
      <c r="D15" s="106">
        <f>IF(G4="","",(SUM(D4:H4)/5)/-C4)</f>
        <v>0.37013951119186073</v>
      </c>
      <c r="I15" s="281"/>
    </row>
    <row r="16" spans="2:10">
      <c r="B16" s="95"/>
      <c r="G16" s="96"/>
      <c r="H16" s="96"/>
      <c r="I16" s="96"/>
      <c r="J16" s="96"/>
    </row>
    <row r="17" spans="2:16">
      <c r="B17" s="95" t="s">
        <v>186</v>
      </c>
      <c r="C17" s="96" t="s">
        <v>179</v>
      </c>
      <c r="D17" s="107">
        <f>IF(G4="","",SUM(D4:H4)/-C4)</f>
        <v>1.8506975559593035</v>
      </c>
    </row>
    <row r="23" spans="2:16" ht="12.75" thickBot="1"/>
    <row r="24" spans="2:16" ht="12.75" thickBot="1">
      <c r="G24" s="448" t="s">
        <v>310</v>
      </c>
      <c r="H24" s="448" t="s">
        <v>393</v>
      </c>
      <c r="I24" s="449" t="s">
        <v>111</v>
      </c>
      <c r="J24" s="450">
        <v>2016</v>
      </c>
      <c r="K24" s="450">
        <v>2017</v>
      </c>
      <c r="L24" s="450">
        <v>2018</v>
      </c>
      <c r="M24" s="450">
        <v>2019</v>
      </c>
      <c r="N24" s="450">
        <v>2020</v>
      </c>
      <c r="O24" s="450">
        <v>2021</v>
      </c>
      <c r="P24" s="450">
        <v>2022</v>
      </c>
    </row>
    <row r="25" spans="2:16" ht="12.75" thickTop="1">
      <c r="G25" s="451" t="s">
        <v>421</v>
      </c>
      <c r="H25" s="452">
        <v>5000</v>
      </c>
      <c r="I25" s="453">
        <v>0.33329999999999999</v>
      </c>
      <c r="J25" s="452">
        <v>1667</v>
      </c>
      <c r="K25" s="452">
        <v>1667</v>
      </c>
      <c r="L25" s="452">
        <v>1667</v>
      </c>
      <c r="M25" s="454">
        <v>0</v>
      </c>
      <c r="N25" s="454">
        <v>0</v>
      </c>
      <c r="O25" s="454">
        <v>0</v>
      </c>
      <c r="P25" s="454">
        <v>0</v>
      </c>
    </row>
    <row r="26" spans="2:16">
      <c r="G26" s="451" t="s">
        <v>394</v>
      </c>
      <c r="H26" s="452">
        <v>26359</v>
      </c>
      <c r="I26" s="455">
        <v>0.1</v>
      </c>
      <c r="J26" s="452">
        <v>2636</v>
      </c>
      <c r="K26" s="452">
        <v>2636</v>
      </c>
      <c r="L26" s="452">
        <v>2636</v>
      </c>
      <c r="M26" s="452">
        <v>2636</v>
      </c>
      <c r="N26" s="452">
        <v>2636</v>
      </c>
      <c r="O26" s="452">
        <v>2636</v>
      </c>
      <c r="P26" s="452">
        <v>2636</v>
      </c>
    </row>
    <row r="27" spans="2:16">
      <c r="G27" s="451" t="s">
        <v>401</v>
      </c>
      <c r="H27" s="452">
        <v>253709</v>
      </c>
      <c r="I27" s="455">
        <v>0.1</v>
      </c>
      <c r="J27" s="452">
        <v>25371</v>
      </c>
      <c r="K27" s="452">
        <v>25371</v>
      </c>
      <c r="L27" s="452">
        <v>25371</v>
      </c>
      <c r="M27" s="452">
        <v>25371</v>
      </c>
      <c r="N27" s="452">
        <v>25371</v>
      </c>
      <c r="O27" s="452">
        <v>25371</v>
      </c>
      <c r="P27" s="452">
        <v>25371</v>
      </c>
    </row>
    <row r="28" spans="2:16">
      <c r="G28" s="451" t="s">
        <v>112</v>
      </c>
      <c r="H28" s="452">
        <v>97000</v>
      </c>
      <c r="I28" s="455">
        <v>0.2</v>
      </c>
      <c r="J28" s="452">
        <v>19400</v>
      </c>
      <c r="K28" s="452">
        <v>19400</v>
      </c>
      <c r="L28" s="452">
        <v>19400</v>
      </c>
      <c r="M28" s="452">
        <v>19400</v>
      </c>
      <c r="N28" s="452">
        <v>19400</v>
      </c>
      <c r="O28" s="454">
        <v>0</v>
      </c>
      <c r="P28" s="454">
        <v>0</v>
      </c>
    </row>
    <row r="29" spans="2:16">
      <c r="G29" s="451" t="s">
        <v>409</v>
      </c>
      <c r="H29" s="452">
        <v>12000</v>
      </c>
      <c r="I29" s="455">
        <v>0.1</v>
      </c>
      <c r="J29" s="452">
        <v>1200</v>
      </c>
      <c r="K29" s="452">
        <v>1200</v>
      </c>
      <c r="L29" s="452">
        <v>1200</v>
      </c>
      <c r="M29" s="452">
        <v>1200</v>
      </c>
      <c r="N29" s="452">
        <v>1200</v>
      </c>
      <c r="O29" s="452">
        <v>1200</v>
      </c>
      <c r="P29" s="452">
        <v>1200</v>
      </c>
    </row>
    <row r="30" spans="2:16">
      <c r="G30" s="451" t="s">
        <v>399</v>
      </c>
      <c r="H30" s="452">
        <v>3500</v>
      </c>
      <c r="I30" s="455">
        <v>0.1</v>
      </c>
      <c r="J30" s="454">
        <v>350</v>
      </c>
      <c r="K30" s="454">
        <v>350</v>
      </c>
      <c r="L30" s="454">
        <v>350</v>
      </c>
      <c r="M30" s="454">
        <v>350</v>
      </c>
      <c r="N30" s="454">
        <v>350</v>
      </c>
      <c r="O30" s="454">
        <v>350</v>
      </c>
      <c r="P30" s="454">
        <v>350</v>
      </c>
    </row>
    <row r="31" spans="2:16" ht="12.75" thickBot="1">
      <c r="G31" s="451" t="s">
        <v>304</v>
      </c>
      <c r="H31" s="452">
        <v>20500</v>
      </c>
      <c r="I31" s="453">
        <v>0.33329999999999999</v>
      </c>
      <c r="J31" s="452">
        <v>6833</v>
      </c>
      <c r="K31" s="452">
        <v>6833</v>
      </c>
      <c r="L31" s="452">
        <v>6835</v>
      </c>
      <c r="M31" s="454">
        <v>0</v>
      </c>
      <c r="N31" s="454">
        <v>0</v>
      </c>
      <c r="O31" s="454">
        <v>0</v>
      </c>
      <c r="P31" s="454">
        <v>0</v>
      </c>
    </row>
    <row r="32" spans="2:16" ht="12.75" thickBot="1">
      <c r="G32" s="456"/>
      <c r="H32" s="457">
        <v>418068</v>
      </c>
      <c r="I32" s="458"/>
      <c r="J32" s="457">
        <v>55789</v>
      </c>
      <c r="K32" s="457">
        <v>55789</v>
      </c>
      <c r="L32" s="457">
        <v>55791</v>
      </c>
      <c r="M32" s="457">
        <v>48957</v>
      </c>
      <c r="N32" s="457">
        <v>48957</v>
      </c>
      <c r="O32" s="457">
        <v>29557</v>
      </c>
      <c r="P32" s="457">
        <v>29557</v>
      </c>
    </row>
  </sheetData>
  <mergeCells count="1">
    <mergeCell ref="B1:G1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B3:I8"/>
  <sheetViews>
    <sheetView workbookViewId="0">
      <selection activeCell="B3" sqref="B3:I7"/>
    </sheetView>
  </sheetViews>
  <sheetFormatPr baseColWidth="10" defaultRowHeight="15"/>
  <cols>
    <col min="2" max="2" width="18" bestFit="1" customWidth="1"/>
  </cols>
  <sheetData>
    <row r="3" spans="2:9" ht="15.75" thickBot="1">
      <c r="B3" s="306" t="s">
        <v>68</v>
      </c>
      <c r="C3" s="306">
        <v>2016</v>
      </c>
      <c r="D3" s="306">
        <v>2017</v>
      </c>
      <c r="E3" s="306">
        <v>2018</v>
      </c>
      <c r="F3" s="306">
        <v>2019</v>
      </c>
      <c r="G3" s="306">
        <v>2020</v>
      </c>
      <c r="H3" s="306">
        <v>2021</v>
      </c>
      <c r="I3" s="306">
        <v>2022</v>
      </c>
    </row>
    <row r="4" spans="2:9" ht="15.75" thickTop="1">
      <c r="B4" s="390" t="s">
        <v>480</v>
      </c>
      <c r="C4" s="414">
        <f>+'P&amp;L'!C26</f>
        <v>166544.75751532265</v>
      </c>
      <c r="D4" s="414">
        <f>+'P&amp;L'!E26</f>
        <v>216489.82622729847</v>
      </c>
      <c r="E4" s="414">
        <f>+'P&amp;L'!G26</f>
        <v>280473.27017739322</v>
      </c>
      <c r="F4" s="414">
        <f>+'P&amp;L'!I26</f>
        <v>344782.52935456112</v>
      </c>
      <c r="G4" s="414">
        <f>+'P&amp;L'!K26</f>
        <v>430971.99145509955</v>
      </c>
      <c r="H4" s="414">
        <f>+'P&amp;L'!M26</f>
        <v>421092.68449120037</v>
      </c>
      <c r="I4" s="414">
        <f>+'P&amp;L'!O26</f>
        <v>443093.14456408657</v>
      </c>
    </row>
    <row r="5" spans="2:9">
      <c r="B5" s="390" t="s">
        <v>479</v>
      </c>
      <c r="C5" s="414">
        <f>+'P&amp;L'!C37</f>
        <v>98763.568136491987</v>
      </c>
      <c r="D5" s="414">
        <f>+'P&amp;L'!E37</f>
        <v>137856.43217047385</v>
      </c>
      <c r="E5" s="414">
        <f>+'P&amp;L'!G37</f>
        <v>190201.51513304492</v>
      </c>
      <c r="F5" s="414">
        <f>+'P&amp;L'!I37</f>
        <v>242790.95951592084</v>
      </c>
      <c r="G5" s="414">
        <f>+'P&amp;L'!K37</f>
        <v>311790.55609132466</v>
      </c>
      <c r="H5" s="414">
        <f>+'P&amp;L'!M37</f>
        <v>308738.57586840028</v>
      </c>
      <c r="I5" s="414">
        <f>+'P&amp;L'!O37</f>
        <v>329596.42092306493</v>
      </c>
    </row>
    <row r="6" spans="2:9">
      <c r="B6" s="390" t="s">
        <v>122</v>
      </c>
      <c r="C6" s="414">
        <f>+'P&amp;L'!C10</f>
        <v>1742256</v>
      </c>
      <c r="D6" s="414">
        <f>+'P&amp;L'!E10</f>
        <v>2003594.4</v>
      </c>
      <c r="E6" s="414">
        <f>+'P&amp;L'!G10</f>
        <v>2304133.5599999996</v>
      </c>
      <c r="F6" s="414">
        <f>+'P&amp;L'!I10</f>
        <v>2649753.5939999986</v>
      </c>
      <c r="G6" s="414">
        <f>+'P&amp;L'!K10</f>
        <v>3047216.6330999993</v>
      </c>
      <c r="H6" s="414">
        <f>+'P&amp;L'!M10</f>
        <v>3047216.6330999993</v>
      </c>
      <c r="I6" s="414">
        <f>+'P&amp;L'!O10</f>
        <v>3047216.6330999993</v>
      </c>
    </row>
    <row r="7" spans="2:9" ht="15.75" thickBot="1">
      <c r="B7" s="306"/>
      <c r="C7" s="415">
        <f>SUM(C4:C6)</f>
        <v>2007564.3256518147</v>
      </c>
      <c r="D7" s="415">
        <f t="shared" ref="D7:I7" si="0">SUM(D4:D6)</f>
        <v>2357940.6583977723</v>
      </c>
      <c r="E7" s="415">
        <f t="shared" si="0"/>
        <v>2774808.3453104375</v>
      </c>
      <c r="F7" s="415">
        <f t="shared" si="0"/>
        <v>3237327.0828704806</v>
      </c>
      <c r="G7" s="415">
        <f t="shared" si="0"/>
        <v>3789979.1806464233</v>
      </c>
      <c r="H7" s="415">
        <f>SUM(H4:H6)</f>
        <v>3777047.8934595999</v>
      </c>
      <c r="I7" s="415">
        <f t="shared" si="0"/>
        <v>3819906.1985871508</v>
      </c>
    </row>
    <row r="8" spans="2:9" ht="15.75" thickTop="1">
      <c r="B8" s="173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3:H26"/>
  <sheetViews>
    <sheetView workbookViewId="0">
      <selection activeCell="H13" sqref="H13"/>
    </sheetView>
  </sheetViews>
  <sheetFormatPr baseColWidth="10" defaultRowHeight="15"/>
  <cols>
    <col min="1" max="1" width="27.7109375" bestFit="1" customWidth="1"/>
    <col min="2" max="2" width="14.85546875" bestFit="1" customWidth="1"/>
    <col min="5" max="5" width="14.42578125" bestFit="1" customWidth="1"/>
  </cols>
  <sheetData>
    <row r="3" spans="1:8">
      <c r="A3" s="295"/>
      <c r="B3" s="296">
        <v>2016</v>
      </c>
      <c r="C3" s="296">
        <v>2017</v>
      </c>
      <c r="D3" s="296">
        <v>2018</v>
      </c>
      <c r="E3" s="296">
        <v>2019</v>
      </c>
      <c r="F3" s="296">
        <v>2020</v>
      </c>
      <c r="G3" s="296">
        <v>2020</v>
      </c>
      <c r="H3" s="296">
        <v>2020</v>
      </c>
    </row>
    <row r="4" spans="1:8">
      <c r="A4" s="297" t="s">
        <v>488</v>
      </c>
      <c r="B4" s="298">
        <f>+('P&amp;L'!C14+'P&amp;L'!C18+'P&amp;L'!C19)/'P&amp;L'!C14</f>
        <v>0.35069572687097805</v>
      </c>
      <c r="C4" s="298">
        <f>+('P&amp;L'!E14+'P&amp;L'!E18+'P&amp;L'!E19)/'P&amp;L'!E14</f>
        <v>0.34798442366743415</v>
      </c>
      <c r="D4" s="298">
        <f>+('P&amp;L'!G14+'P&amp;L'!G18+'P&amp;L'!G19)/'P&amp;L'!G14</f>
        <v>0.34798442366743421</v>
      </c>
      <c r="E4" s="298">
        <f>+('P&amp;L'!I14+'P&amp;L'!I18+'P&amp;L'!I19)/'P&amp;L'!I14</f>
        <v>0.34798442366743393</v>
      </c>
      <c r="F4" s="298">
        <f>+('P&amp;L'!K14+'P&amp;L'!K18+'P&amp;L'!K19)/'P&amp;L'!K14</f>
        <v>0.34798442366743404</v>
      </c>
      <c r="G4" s="298" t="e">
        <f>+('P&amp;L'!L14+'P&amp;L'!L18+'P&amp;L'!L19)/'P&amp;L'!L14</f>
        <v>#DIV/0!</v>
      </c>
      <c r="H4" s="298">
        <f>+('P&amp;L'!M14+'P&amp;L'!M18+'P&amp;L'!M19)/'P&amp;L'!M14</f>
        <v>0.34757772818690252</v>
      </c>
    </row>
    <row r="5" spans="1:8">
      <c r="A5" s="297" t="s">
        <v>489</v>
      </c>
      <c r="B5" s="298">
        <f>+('P&amp;L'!C26-'P&amp;L'!C21)/'P&amp;L'!C14</f>
        <v>0.12761281781513317</v>
      </c>
      <c r="C5" s="298">
        <f>+('P&amp;L'!E26-'P&amp;L'!E21)/'P&amp;L'!E14</f>
        <v>0.1358954018973593</v>
      </c>
      <c r="D5" s="298">
        <f>+('P&amp;L'!G26-'P&amp;L'!G21)/'P&amp;L'!G14</f>
        <v>0.14593978665776355</v>
      </c>
      <c r="E5" s="298">
        <f>+('P&amp;L'!I26-'P&amp;L'!I21)/'P&amp;L'!I14</f>
        <v>0.14859469206726597</v>
      </c>
      <c r="F5" s="298">
        <f>+('P&amp;L'!K26-'P&amp;L'!K21)/'P&amp;L'!K14</f>
        <v>0.15749742773189632</v>
      </c>
      <c r="G5" s="298" t="e">
        <f>+('P&amp;L'!L26-'P&amp;L'!L21)/'P&amp;L'!L14</f>
        <v>#DIV/0!</v>
      </c>
      <c r="H5" s="298">
        <f>+('P&amp;L'!M26-'P&amp;L'!M21)/'P&amp;L'!M14</f>
        <v>0.14788888640081518</v>
      </c>
    </row>
    <row r="6" spans="1:8">
      <c r="A6" s="297" t="s">
        <v>490</v>
      </c>
      <c r="B6" s="298">
        <f>+'P&amp;L'!D37</f>
        <v>5.6687173490286152E-2</v>
      </c>
      <c r="C6" s="298">
        <f>+'P&amp;L'!F37</f>
        <v>6.8804560529054121E-2</v>
      </c>
      <c r="D6" s="298">
        <f>+'P&amp;L'!H37</f>
        <v>8.2547955741352486E-2</v>
      </c>
      <c r="E6" s="298">
        <f>+'P&amp;L'!J37</f>
        <v>9.1627749865378985E-2</v>
      </c>
      <c r="F6" s="298">
        <f>+'P&amp;L'!L37</f>
        <v>0.10231978675376729</v>
      </c>
      <c r="G6" s="298">
        <f>+'P&amp;L'!M37</f>
        <v>308738.57586840028</v>
      </c>
      <c r="H6" s="298">
        <f>+'P&amp;L'!N37</f>
        <v>0.10131822349443986</v>
      </c>
    </row>
    <row r="7" spans="1:8" ht="15.75" thickBot="1">
      <c r="A7" s="299"/>
      <c r="B7" s="300"/>
      <c r="C7" s="300"/>
      <c r="D7" s="300"/>
      <c r="E7" s="300"/>
      <c r="F7" s="300"/>
      <c r="G7" s="300"/>
      <c r="H7" s="300"/>
    </row>
    <row r="11" spans="1:8">
      <c r="A11" s="257"/>
      <c r="B11" s="28">
        <v>2016</v>
      </c>
      <c r="C11" s="28">
        <v>2017</v>
      </c>
      <c r="D11" s="28">
        <v>2018</v>
      </c>
      <c r="E11" s="28">
        <v>2019</v>
      </c>
      <c r="F11" s="28">
        <v>2020</v>
      </c>
      <c r="G11" s="28">
        <v>2021</v>
      </c>
      <c r="H11" s="28">
        <v>2022</v>
      </c>
    </row>
    <row r="12" spans="1:8">
      <c r="A12" s="256" t="s">
        <v>487</v>
      </c>
      <c r="B12" s="292">
        <f>-Investissements!C32</f>
        <v>-600000.06442889711</v>
      </c>
      <c r="C12" s="58"/>
      <c r="D12" s="58"/>
      <c r="E12" s="58"/>
      <c r="F12" s="58"/>
      <c r="G12" s="58"/>
      <c r="H12" s="58"/>
    </row>
    <row r="13" spans="1:8">
      <c r="A13" s="258" t="s">
        <v>491</v>
      </c>
      <c r="B13" s="290">
        <f>+'Trésor prévisionnelle'!C44</f>
        <v>154553.00813649199</v>
      </c>
      <c r="C13" s="290">
        <f>+'Trésor prévisionnelle'!D44</f>
        <v>96356.047506139264</v>
      </c>
      <c r="D13" s="290">
        <f>+'Trésor prévisionnelle'!E44</f>
        <v>144609.7067690602</v>
      </c>
      <c r="E13" s="290">
        <f>+'Trésor prévisionnelle'!F44</f>
        <v>185656.95639733845</v>
      </c>
      <c r="F13" s="290">
        <f>+'Trésor prévisionnelle'!G44</f>
        <v>249242.93400495464</v>
      </c>
      <c r="G13" s="290">
        <f>+'Trésor prévisionnelle'!H44</f>
        <v>268295.36586840026</v>
      </c>
      <c r="H13" s="290">
        <f>+'Trésor prévisionnelle'!I44</f>
        <v>696024.07358523365</v>
      </c>
    </row>
    <row r="14" spans="1:8">
      <c r="A14" s="256" t="s">
        <v>495</v>
      </c>
      <c r="B14" s="291">
        <v>1.1000000000000001</v>
      </c>
      <c r="C14" s="291">
        <f>+B14*1.1</f>
        <v>1.2100000000000002</v>
      </c>
      <c r="D14" s="291">
        <f t="shared" ref="D14:H14" si="0">+C14*1.1</f>
        <v>1.3310000000000004</v>
      </c>
      <c r="E14" s="291">
        <f t="shared" si="0"/>
        <v>1.4641000000000006</v>
      </c>
      <c r="F14" s="291">
        <f t="shared" si="0"/>
        <v>1.6105100000000008</v>
      </c>
      <c r="G14" s="291">
        <f t="shared" si="0"/>
        <v>1.7715610000000011</v>
      </c>
      <c r="H14" s="291">
        <f t="shared" si="0"/>
        <v>1.9487171000000014</v>
      </c>
    </row>
    <row r="15" spans="1:8">
      <c r="A15" s="256" t="s">
        <v>492</v>
      </c>
      <c r="B15" s="290">
        <f>+B13/B14</f>
        <v>140502.73466953816</v>
      </c>
      <c r="C15" s="290">
        <f>+C13/C14</f>
        <v>79633.097112511779</v>
      </c>
      <c r="D15" s="290">
        <f>+D13/D14</f>
        <v>108647.41304963197</v>
      </c>
      <c r="E15" s="290">
        <f>+E13/E14</f>
        <v>126806.19930150834</v>
      </c>
      <c r="F15" s="290">
        <f>+F13/F14</f>
        <v>154760.25234550206</v>
      </c>
      <c r="G15" s="290">
        <f t="shared" ref="G15:H15" si="1">+G13/G14</f>
        <v>151445.73958695191</v>
      </c>
      <c r="H15" s="290">
        <f t="shared" si="1"/>
        <v>357170.40384426923</v>
      </c>
    </row>
    <row r="16" spans="1:8" ht="15.75" thickBot="1">
      <c r="A16" s="259" t="s">
        <v>494</v>
      </c>
      <c r="B16" s="293">
        <f>+B15</f>
        <v>140502.73466953816</v>
      </c>
      <c r="C16" s="293">
        <f>+C15+B16</f>
        <v>220135.83178204994</v>
      </c>
      <c r="D16" s="293">
        <f t="shared" ref="D16:F16" si="2">+D15+C16</f>
        <v>328783.24483168189</v>
      </c>
      <c r="E16" s="293">
        <f t="shared" si="2"/>
        <v>455589.44413319021</v>
      </c>
      <c r="F16" s="293">
        <f t="shared" si="2"/>
        <v>610349.69647869223</v>
      </c>
      <c r="G16" s="293">
        <f t="shared" ref="G16" si="3">+G15+F16</f>
        <v>761795.43606564414</v>
      </c>
      <c r="H16" s="293">
        <f>+H15+G16</f>
        <v>1118965.8399099135</v>
      </c>
    </row>
    <row r="20" spans="1:8" ht="15.75" thickBot="1">
      <c r="A20" s="1"/>
      <c r="B20" s="1">
        <v>2016</v>
      </c>
      <c r="C20" s="1">
        <v>2017</v>
      </c>
      <c r="D20" s="1">
        <v>2018</v>
      </c>
      <c r="E20" s="1">
        <v>2019</v>
      </c>
      <c r="F20" s="1">
        <v>2020</v>
      </c>
      <c r="G20" s="1">
        <v>2021</v>
      </c>
      <c r="H20" s="1">
        <v>2022</v>
      </c>
    </row>
    <row r="21" spans="1:8" ht="15.75" thickTop="1">
      <c r="A21" s="3" t="s">
        <v>487</v>
      </c>
      <c r="B21" s="294">
        <f>+B12</f>
        <v>-600000.06442889711</v>
      </c>
      <c r="C21" s="288"/>
      <c r="D21" s="288"/>
      <c r="E21" s="288"/>
      <c r="F21" s="288"/>
      <c r="G21" s="288"/>
      <c r="H21" s="288"/>
    </row>
    <row r="22" spans="1:8">
      <c r="A22" s="3" t="s">
        <v>484</v>
      </c>
      <c r="B22" s="75">
        <f>+'P&amp;L'!C37</f>
        <v>98763.568136491987</v>
      </c>
      <c r="C22" s="75">
        <f>+'P&amp;L'!E37</f>
        <v>137856.43217047385</v>
      </c>
      <c r="D22" s="75">
        <f>+'P&amp;L'!G37</f>
        <v>190201.51513304492</v>
      </c>
      <c r="E22" s="75">
        <f>+'P&amp;L'!I37</f>
        <v>242790.95951592084</v>
      </c>
      <c r="F22" s="75">
        <f>+'P&amp;L'!K37</f>
        <v>311790.55609132466</v>
      </c>
      <c r="G22" s="75">
        <f>+'P&amp;L'!L37</f>
        <v>0.10231978675376729</v>
      </c>
      <c r="H22" s="75">
        <f>+'P&amp;L'!M37</f>
        <v>308738.57586840028</v>
      </c>
    </row>
    <row r="23" spans="1:8">
      <c r="A23" s="3" t="s">
        <v>485</v>
      </c>
      <c r="B23" s="75">
        <f>-'P&amp;L'!C21</f>
        <v>55789.440000000002</v>
      </c>
      <c r="C23" s="75">
        <f>-'P&amp;L'!E21</f>
        <v>55789.440000000002</v>
      </c>
      <c r="D23" s="75">
        <f>-'P&amp;L'!G21</f>
        <v>55791.490000000005</v>
      </c>
      <c r="E23" s="75">
        <f>-'P&amp;L'!I21</f>
        <v>48956.79</v>
      </c>
      <c r="F23" s="75">
        <f>-'P&amp;L'!K21</f>
        <v>48956.79</v>
      </c>
      <c r="G23" s="75">
        <f>-'P&amp;L'!L21</f>
        <v>-1.6066068118758988E-2</v>
      </c>
      <c r="H23" s="75">
        <f>-'P&amp;L'!M21</f>
        <v>29556.79</v>
      </c>
    </row>
    <row r="24" spans="1:8">
      <c r="A24" s="3" t="s">
        <v>483</v>
      </c>
      <c r="B24" s="75">
        <f>+'Trésor prévisionnelle'!C33</f>
        <v>0</v>
      </c>
      <c r="C24" s="75">
        <f>+'Trésor prévisionnelle'!D33</f>
        <v>-27289.824664334592</v>
      </c>
      <c r="D24" s="75">
        <f>+'Trésor prévisionnelle'!E33</f>
        <v>-31383.298363984708</v>
      </c>
      <c r="E24" s="75">
        <f>+'Trésor prévisionnelle'!F33</f>
        <v>-36090.793118582369</v>
      </c>
      <c r="F24" s="75">
        <f>+'Trésor prévisionnelle'!G33</f>
        <v>-41504.412086369994</v>
      </c>
      <c r="G24" s="75">
        <f>+'Trésor prévisionnelle'!H33</f>
        <v>0</v>
      </c>
      <c r="H24" s="75">
        <f>+'Trésor prévisionnelle'!I33</f>
        <v>0</v>
      </c>
    </row>
    <row r="25" spans="1:8">
      <c r="A25" s="3"/>
      <c r="B25" s="75"/>
      <c r="C25" s="75"/>
      <c r="D25" s="75"/>
      <c r="E25" s="75"/>
      <c r="F25" s="75"/>
      <c r="G25" s="75"/>
      <c r="H25" s="75"/>
    </row>
    <row r="26" spans="1:8" ht="15.75" thickBot="1">
      <c r="A26" s="278" t="s">
        <v>59</v>
      </c>
      <c r="B26" s="293">
        <f>SUM(B21:B25)</f>
        <v>-445447.05629240512</v>
      </c>
      <c r="C26" s="293">
        <f>SUM(C21:C25)</f>
        <v>166356.04750613926</v>
      </c>
      <c r="D26" s="293">
        <f>SUM(D21:D25)</f>
        <v>214609.7067690602</v>
      </c>
      <c r="E26" s="293">
        <f>SUM(E21:E25)</f>
        <v>255656.95639733845</v>
      </c>
      <c r="F26" s="293">
        <f>SUM(F21:F25)</f>
        <v>319242.93400495464</v>
      </c>
      <c r="G26" s="293">
        <f t="shared" ref="G26:H26" si="4">SUM(G21:G25)</f>
        <v>8.6253718635008303E-2</v>
      </c>
      <c r="H26" s="293">
        <f t="shared" si="4"/>
        <v>338295.36586840026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B4:E7"/>
  <sheetViews>
    <sheetView workbookViewId="0">
      <selection activeCell="A25" sqref="A25"/>
    </sheetView>
  </sheetViews>
  <sheetFormatPr baseColWidth="10" defaultRowHeight="15"/>
  <cols>
    <col min="2" max="2" width="26" customWidth="1"/>
    <col min="3" max="3" width="14.85546875" customWidth="1"/>
    <col min="4" max="4" width="16.140625" customWidth="1"/>
    <col min="5" max="5" width="14.28515625" customWidth="1"/>
  </cols>
  <sheetData>
    <row r="4" spans="2:5" ht="15.75" thickBot="1">
      <c r="B4" s="309" t="s">
        <v>61</v>
      </c>
      <c r="C4" s="312">
        <v>42401</v>
      </c>
      <c r="D4" s="312">
        <v>42430</v>
      </c>
      <c r="E4" s="312">
        <v>42491</v>
      </c>
    </row>
    <row r="5" spans="2:5" ht="15.75" thickBot="1">
      <c r="B5" s="310" t="s">
        <v>500</v>
      </c>
      <c r="C5" s="308"/>
      <c r="D5" s="310"/>
      <c r="E5" s="310"/>
    </row>
    <row r="6" spans="2:5" ht="15.75" thickBot="1">
      <c r="B6" s="311" t="s">
        <v>501</v>
      </c>
      <c r="C6" s="311"/>
      <c r="D6" s="308"/>
      <c r="E6" s="310"/>
    </row>
    <row r="7" spans="2:5" ht="15.75" thickBot="1">
      <c r="B7" s="311" t="s">
        <v>502</v>
      </c>
      <c r="C7" s="311"/>
      <c r="D7" s="311"/>
      <c r="E7" s="30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0"/>
  <sheetViews>
    <sheetView workbookViewId="0">
      <selection activeCell="A22" sqref="A22:Q53"/>
    </sheetView>
  </sheetViews>
  <sheetFormatPr baseColWidth="10" defaultRowHeight="15"/>
  <cols>
    <col min="1" max="1" width="23.140625" bestFit="1" customWidth="1"/>
    <col min="2" max="2" width="6.5703125" bestFit="1" customWidth="1"/>
    <col min="3" max="3" width="28.140625" customWidth="1"/>
    <col min="4" max="8" width="6.5703125" bestFit="1" customWidth="1"/>
  </cols>
  <sheetData>
    <row r="1" spans="1:8" ht="15.75" thickBot="1">
      <c r="A1" s="423" t="s">
        <v>463</v>
      </c>
      <c r="B1" s="421">
        <v>2016</v>
      </c>
      <c r="C1" s="421">
        <v>2017</v>
      </c>
      <c r="D1" s="421">
        <v>2018</v>
      </c>
      <c r="E1" s="421">
        <v>2019</v>
      </c>
      <c r="F1" s="421">
        <v>2020</v>
      </c>
      <c r="G1" s="421">
        <v>2021</v>
      </c>
      <c r="H1" s="421">
        <v>2022</v>
      </c>
    </row>
    <row r="2" spans="1:8" ht="15.75" thickTop="1">
      <c r="A2" s="381" t="s">
        <v>100</v>
      </c>
      <c r="B2" s="363">
        <v>1</v>
      </c>
      <c r="C2" s="362">
        <v>1</v>
      </c>
      <c r="D2" s="362">
        <v>1</v>
      </c>
      <c r="E2" s="362">
        <v>1</v>
      </c>
      <c r="F2" s="362">
        <v>1</v>
      </c>
      <c r="G2" s="362">
        <v>1</v>
      </c>
      <c r="H2" s="362">
        <v>1</v>
      </c>
    </row>
    <row r="3" spans="1:8">
      <c r="A3" s="381" t="s">
        <v>458</v>
      </c>
      <c r="B3" s="363">
        <v>2</v>
      </c>
      <c r="C3" s="362">
        <v>2</v>
      </c>
      <c r="D3" s="362">
        <v>2</v>
      </c>
      <c r="E3" s="362">
        <v>2</v>
      </c>
      <c r="F3" s="362">
        <v>2</v>
      </c>
      <c r="G3" s="362">
        <v>2</v>
      </c>
      <c r="H3" s="362">
        <v>2</v>
      </c>
    </row>
    <row r="4" spans="1:8">
      <c r="A4" s="381" t="s">
        <v>459</v>
      </c>
      <c r="B4" s="363">
        <v>1</v>
      </c>
      <c r="C4" s="362">
        <v>1</v>
      </c>
      <c r="D4" s="362">
        <v>1</v>
      </c>
      <c r="E4" s="362">
        <v>1</v>
      </c>
      <c r="F4" s="362">
        <v>1</v>
      </c>
      <c r="G4" s="362">
        <v>1</v>
      </c>
      <c r="H4" s="362">
        <v>1</v>
      </c>
    </row>
    <row r="5" spans="1:8">
      <c r="A5" s="381" t="s">
        <v>460</v>
      </c>
      <c r="B5" s="363">
        <v>1</v>
      </c>
      <c r="C5" s="362">
        <v>1</v>
      </c>
      <c r="D5" s="362">
        <v>1</v>
      </c>
      <c r="E5" s="362">
        <v>1</v>
      </c>
      <c r="F5" s="362">
        <v>1</v>
      </c>
      <c r="G5" s="362">
        <v>1</v>
      </c>
      <c r="H5" s="362">
        <v>1</v>
      </c>
    </row>
    <row r="6" spans="1:8">
      <c r="A6" s="381" t="s">
        <v>104</v>
      </c>
      <c r="B6" s="363">
        <v>1</v>
      </c>
      <c r="C6" s="362">
        <v>1</v>
      </c>
      <c r="D6" s="362">
        <v>1</v>
      </c>
      <c r="E6" s="362">
        <v>1</v>
      </c>
      <c r="F6" s="362">
        <v>1</v>
      </c>
      <c r="G6" s="362">
        <v>1</v>
      </c>
      <c r="H6" s="362">
        <v>1</v>
      </c>
    </row>
    <row r="7" spans="1:8">
      <c r="A7" s="381" t="s">
        <v>105</v>
      </c>
      <c r="B7" s="363">
        <v>6</v>
      </c>
      <c r="C7" s="362">
        <v>6</v>
      </c>
      <c r="D7" s="362">
        <v>6</v>
      </c>
      <c r="E7" s="362">
        <v>8</v>
      </c>
      <c r="F7" s="362">
        <v>8</v>
      </c>
      <c r="G7" s="362">
        <v>8</v>
      </c>
      <c r="H7" s="362">
        <v>8</v>
      </c>
    </row>
    <row r="8" spans="1:8">
      <c r="A8" s="381" t="s">
        <v>461</v>
      </c>
      <c r="B8" s="363">
        <v>1</v>
      </c>
      <c r="C8" s="362">
        <v>1</v>
      </c>
      <c r="D8" s="362">
        <v>1</v>
      </c>
      <c r="E8" s="362">
        <v>1</v>
      </c>
      <c r="F8" s="362">
        <v>1</v>
      </c>
      <c r="G8" s="362">
        <v>1</v>
      </c>
      <c r="H8" s="362">
        <v>1</v>
      </c>
    </row>
    <row r="9" spans="1:8">
      <c r="A9" s="381" t="s">
        <v>106</v>
      </c>
      <c r="B9" s="363">
        <v>2</v>
      </c>
      <c r="C9" s="362">
        <v>2</v>
      </c>
      <c r="D9" s="362">
        <v>2</v>
      </c>
      <c r="E9" s="362">
        <v>2</v>
      </c>
      <c r="F9" s="362">
        <v>2</v>
      </c>
      <c r="G9" s="362">
        <v>2</v>
      </c>
      <c r="H9" s="362">
        <v>2</v>
      </c>
    </row>
    <row r="10" spans="1:8">
      <c r="A10" s="422" t="s">
        <v>59</v>
      </c>
      <c r="B10" s="383">
        <v>15</v>
      </c>
      <c r="C10" s="383">
        <v>15</v>
      </c>
      <c r="D10" s="383">
        <v>15</v>
      </c>
      <c r="E10" s="383">
        <v>17</v>
      </c>
      <c r="F10" s="383">
        <v>17</v>
      </c>
      <c r="G10" s="383">
        <v>17</v>
      </c>
      <c r="H10" s="383">
        <v>17</v>
      </c>
    </row>
    <row r="12" spans="1:8" ht="15.75" thickBot="1"/>
    <row r="13" spans="1:8" ht="15.75" thickBot="1">
      <c r="A13" s="437" t="s">
        <v>154</v>
      </c>
      <c r="B13" s="437">
        <v>2016</v>
      </c>
      <c r="C13" s="437"/>
      <c r="D13" s="442"/>
      <c r="E13" s="442"/>
      <c r="F13" s="442"/>
      <c r="G13" s="442"/>
      <c r="H13" s="442"/>
    </row>
    <row r="14" spans="1:8" ht="15.75" thickTop="1">
      <c r="A14" s="438" t="s">
        <v>471</v>
      </c>
      <c r="B14" s="439">
        <v>15000</v>
      </c>
      <c r="C14" s="439"/>
      <c r="D14" s="443"/>
      <c r="E14" s="443"/>
      <c r="F14" s="443"/>
      <c r="G14" s="443"/>
      <c r="H14" s="443"/>
    </row>
    <row r="15" spans="1:8">
      <c r="A15" s="438" t="s">
        <v>468</v>
      </c>
      <c r="B15" s="439">
        <v>6000</v>
      </c>
      <c r="C15" s="439"/>
      <c r="D15" s="443"/>
      <c r="E15" s="443"/>
      <c r="F15" s="443"/>
      <c r="G15" s="443"/>
      <c r="H15" s="443"/>
    </row>
    <row r="16" spans="1:8">
      <c r="A16" s="438" t="s">
        <v>349</v>
      </c>
      <c r="B16" s="439">
        <v>4104</v>
      </c>
      <c r="C16" s="439"/>
      <c r="D16" s="443"/>
      <c r="E16" s="443"/>
      <c r="F16" s="443"/>
      <c r="G16" s="443"/>
      <c r="H16" s="443"/>
    </row>
    <row r="17" spans="1:8">
      <c r="A17" s="438" t="s">
        <v>469</v>
      </c>
      <c r="B17" s="439">
        <v>2664</v>
      </c>
      <c r="C17" s="439"/>
      <c r="D17" s="443"/>
      <c r="E17" s="443"/>
      <c r="F17" s="443"/>
      <c r="G17" s="443"/>
      <c r="H17" s="443"/>
    </row>
    <row r="18" spans="1:8">
      <c r="A18" s="438" t="s">
        <v>470</v>
      </c>
      <c r="B18" s="439">
        <v>4500</v>
      </c>
      <c r="C18" s="439"/>
      <c r="D18" s="443"/>
      <c r="E18" s="443"/>
      <c r="F18" s="443"/>
      <c r="G18" s="443"/>
      <c r="H18" s="443"/>
    </row>
    <row r="19" spans="1:8" ht="15.75" thickBot="1">
      <c r="A19" s="438" t="s">
        <v>472</v>
      </c>
      <c r="B19" s="439">
        <v>9679</v>
      </c>
      <c r="C19" s="439"/>
      <c r="D19" s="443"/>
      <c r="E19" s="443"/>
      <c r="F19" s="443"/>
      <c r="G19" s="443"/>
      <c r="H19" s="443"/>
    </row>
    <row r="20" spans="1:8" ht="15.75" thickBot="1">
      <c r="A20" s="440" t="s">
        <v>59</v>
      </c>
      <c r="B20" s="441">
        <f>SUM(B14:B19)</f>
        <v>41947</v>
      </c>
      <c r="C20" s="441"/>
      <c r="D20" s="444"/>
      <c r="E20" s="444"/>
      <c r="F20" s="444"/>
      <c r="G20" s="444"/>
      <c r="H20" s="4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29</vt:i4>
      </vt:variant>
      <vt:variant>
        <vt:lpstr>Plages nommées</vt:lpstr>
      </vt:variant>
      <vt:variant>
        <vt:i4>2</vt:i4>
      </vt:variant>
    </vt:vector>
  </HeadingPairs>
  <TitlesOfParts>
    <vt:vector size="31" baseType="lpstr">
      <vt:lpstr>Données</vt:lpstr>
      <vt:lpstr>Hypothèse</vt:lpstr>
      <vt:lpstr>Schémas fin</vt:lpstr>
      <vt:lpstr>Investissements</vt:lpstr>
      <vt:lpstr>Prix achat-ventes</vt:lpstr>
      <vt:lpstr>Chiffre d'affaire</vt:lpstr>
      <vt:lpstr>Calcul Coût Ption</vt:lpstr>
      <vt:lpstr>Cout de production prévisionnel</vt:lpstr>
      <vt:lpstr>Taux de marge</vt:lpstr>
      <vt:lpstr>Consommations Q</vt:lpstr>
      <vt:lpstr>Ach prévisionnel</vt:lpstr>
      <vt:lpstr>Achat Matière</vt:lpstr>
      <vt:lpstr>TVA</vt:lpstr>
      <vt:lpstr>Achat carton</vt:lpstr>
      <vt:lpstr>Autres charges</vt:lpstr>
      <vt:lpstr>SALAIRE</vt:lpstr>
      <vt:lpstr>P&amp;L</vt:lpstr>
      <vt:lpstr>ACTIFS</vt:lpstr>
      <vt:lpstr>PASSIFS</vt:lpstr>
      <vt:lpstr>BG</vt:lpstr>
      <vt:lpstr>Emprunt</vt:lpstr>
      <vt:lpstr>Trésor prévisionnelle</vt:lpstr>
      <vt:lpstr>VAN</vt:lpstr>
      <vt:lpstr>frais financier</vt:lpstr>
      <vt:lpstr>INDICE DE RENTABILITE</vt:lpstr>
      <vt:lpstr>Analyse rentabilité</vt:lpstr>
      <vt:lpstr>CALCUL VANT TRI</vt:lpstr>
      <vt:lpstr>Shémas de réalisation</vt:lpstr>
      <vt:lpstr>Feuil1</vt:lpstr>
      <vt:lpstr>ACTIFS!Zone_d_impression</vt:lpstr>
      <vt:lpstr>'P&amp;L'!Zone_d_impression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dadou</dc:creator>
  <cp:lastModifiedBy>dadou</cp:lastModifiedBy>
  <cp:lastPrinted>2016-01-01T16:14:58Z</cp:lastPrinted>
  <dcterms:created xsi:type="dcterms:W3CDTF">2015-12-31T13:23:21Z</dcterms:created>
  <dcterms:modified xsi:type="dcterms:W3CDTF">2016-01-26T08:07:02Z</dcterms:modified>
</cp:coreProperties>
</file>